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4"/>
    <sheet state="visible" name="Table 2" sheetId="2" r:id="rId5"/>
    <sheet state="visible" name="Table 3" sheetId="3" r:id="rId6"/>
    <sheet state="visible" name="Table 6" sheetId="4" r:id="rId7"/>
    <sheet state="visible" name="ABL1" sheetId="5" r:id="rId8"/>
    <sheet state="hidden" name="CDK2" sheetId="6" r:id="rId9"/>
    <sheet state="hidden" name="EGFR" sheetId="7" r:id="rId10"/>
    <sheet state="visible" name="ACE" sheetId="8" r:id="rId11"/>
    <sheet state="visible" name="AMPC" sheetId="9" r:id="rId12"/>
    <sheet state="visible" name="CXCR4" sheetId="10" r:id="rId13"/>
    <sheet state="visible" name="DRD3" sheetId="11" r:id="rId14"/>
    <sheet state="visible" name="FKB1A" sheetId="12" r:id="rId15"/>
    <sheet state="visible" name="HS90A" sheetId="13" r:id="rId16"/>
    <sheet state="visible" name="JAK2" sheetId="14" r:id="rId17"/>
    <sheet state="visible" name="MMP13" sheetId="15" r:id="rId18"/>
    <sheet state="visible" name="Class" sheetId="16" r:id="rId19"/>
    <sheet state="visible" name="JAK2 Diversity" sheetId="17" r:id="rId20"/>
    <sheet state="visible" name="CXCR4 Diversity" sheetId="18" r:id="rId21"/>
    <sheet state="visible" name="MMP13 Diversity" sheetId="19" r:id="rId22"/>
  </sheets>
  <definedNames/>
  <calcPr/>
  <extLst>
    <ext uri="GoogleSheetsCustomDataVersion2">
      <go:sheetsCustomData xmlns:go="http://customooxmlschemas.google.com/" r:id="rId23" roundtripDataChecksum="0JbmzUnrTpGOajaSElTofMnhG85b7aOSt7T14TWNss8="/>
    </ext>
  </extLst>
</workbook>
</file>

<file path=xl/sharedStrings.xml><?xml version="1.0" encoding="utf-8"?>
<sst xmlns="http://schemas.openxmlformats.org/spreadsheetml/2006/main" count="1462" uniqueCount="100">
  <si>
    <t>Feature Name</t>
  </si>
  <si>
    <t>Abbreviation</t>
  </si>
  <si>
    <t>Anionic atom</t>
  </si>
  <si>
    <t>Ani</t>
  </si>
  <si>
    <t>CO2 centroid</t>
  </si>
  <si>
    <t>O2</t>
  </si>
  <si>
    <t>Cationic atom</t>
  </si>
  <si>
    <t>Cat</t>
  </si>
  <si>
    <t>NCN+ centre</t>
  </si>
  <si>
    <t>CN2</t>
  </si>
  <si>
    <t>H-bond donor</t>
  </si>
  <si>
    <t>Don</t>
  </si>
  <si>
    <t>H-bond donor projection</t>
  </si>
  <si>
    <t>Don2</t>
  </si>
  <si>
    <t>H-bond acceptor</t>
  </si>
  <si>
    <t>Acc</t>
  </si>
  <si>
    <t>H-bond acceptor projection</t>
  </si>
  <si>
    <t>Acc2</t>
  </si>
  <si>
    <t>Aromatic centre</t>
  </si>
  <si>
    <t>Aro</t>
  </si>
  <si>
    <t>Pi-ring centre</t>
  </si>
  <si>
    <t>PiR</t>
  </si>
  <si>
    <t>Aromatic or Pi-ring normal</t>
  </si>
  <si>
    <t>PiN</t>
  </si>
  <si>
    <t>Hydrophobic centroid</t>
  </si>
  <si>
    <t>Hyd</t>
  </si>
  <si>
    <t>Table S1 : The default list of available Ph4 features available within the Unified scheme within the MOE molecular modeling platform</t>
  </si>
  <si>
    <t>Machine</t>
  </si>
  <si>
    <t>Human</t>
  </si>
  <si>
    <t>AutoPh4</t>
  </si>
  <si>
    <t>db_AutoPh4</t>
  </si>
  <si>
    <t>Reverse FP</t>
  </si>
  <si>
    <t>Ph4 
Elucidator</t>
  </si>
  <si>
    <t>Median</t>
  </si>
  <si>
    <t>U1</t>
  </si>
  <si>
    <t>U2</t>
  </si>
  <si>
    <t>U3</t>
  </si>
  <si>
    <t>U4</t>
  </si>
  <si>
    <t>Kinase</t>
  </si>
  <si>
    <t>Abl1</t>
  </si>
  <si>
    <t>JAK2</t>
  </si>
  <si>
    <t>GPCR</t>
  </si>
  <si>
    <t>CXCR4</t>
  </si>
  <si>
    <t>DRD3</t>
  </si>
  <si>
    <t>Protease</t>
  </si>
  <si>
    <t>ACE</t>
  </si>
  <si>
    <t>MMP13</t>
  </si>
  <si>
    <t>Other</t>
  </si>
  <si>
    <t>AMPC</t>
  </si>
  <si>
    <t>FKB1A</t>
  </si>
  <si>
    <t>HS90A</t>
  </si>
  <si>
    <t>Table Two: Power Metric (PM) for each Ph4 model for each target. As remarked in the text a random performance always scores 0.5, while a perfect discrimination (at a given threshold) scores 1.0.</t>
  </si>
  <si>
    <t>Table Three: Sensitivity (S_e) for each Ph4 model for each target.</t>
  </si>
  <si>
    <t>Machine Median</t>
  </si>
  <si>
    <t>U1-U4 Median</t>
  </si>
  <si>
    <t>U5</t>
  </si>
  <si>
    <t>Table Six: Median PM measure as a function of machine or human Ph4 models. These data are as reported in Table Two. In addition, the PM measure for the new human participant, U5, adopting the ‘Human-in-the-Loop’ approach as described in Section 5.</t>
  </si>
  <si>
    <t>Target</t>
  </si>
  <si>
    <t>Input</t>
  </si>
  <si>
    <t>Conf Pack</t>
  </si>
  <si>
    <t>Auto_PH4</t>
  </si>
  <si>
    <t>db_AutoPH4</t>
  </si>
  <si>
    <t>Reverse_FP</t>
  </si>
  <si>
    <t>Elucidator</t>
  </si>
  <si>
    <t>AT PH4</t>
  </si>
  <si>
    <t>U1 PH4</t>
  </si>
  <si>
    <t>U2 PH4</t>
  </si>
  <si>
    <t>U3 PH4</t>
  </si>
  <si>
    <t>U4 PH4</t>
  </si>
  <si>
    <t>Reverse_FP Partial</t>
  </si>
  <si>
    <t>Actives</t>
  </si>
  <si>
    <t>Decoys</t>
  </si>
  <si>
    <t>Total</t>
  </si>
  <si>
    <t>TP</t>
  </si>
  <si>
    <t>FP</t>
  </si>
  <si>
    <t>FN</t>
  </si>
  <si>
    <t>TN</t>
  </si>
  <si>
    <t>Se</t>
  </si>
  <si>
    <t>Sp</t>
  </si>
  <si>
    <t>MCC</t>
  </si>
  <si>
    <t>Ef</t>
  </si>
  <si>
    <t>PM</t>
  </si>
  <si>
    <t>nMCC</t>
  </si>
  <si>
    <t>F1</t>
  </si>
  <si>
    <t>Reverse_FP partial</t>
  </si>
  <si>
    <t>EF</t>
  </si>
  <si>
    <t xml:space="preserve">Auto_PH4 </t>
  </si>
  <si>
    <t>Average</t>
  </si>
  <si>
    <t>Average Users</t>
  </si>
  <si>
    <t>All</t>
  </si>
  <si>
    <t>AutoPH4</t>
  </si>
  <si>
    <t>dbautoPH4</t>
  </si>
  <si>
    <t>partialreverseFP</t>
  </si>
  <si>
    <t>Consensus</t>
  </si>
  <si>
    <t>db_autoPH4</t>
  </si>
  <si>
    <t>partial_reverseFP</t>
  </si>
  <si>
    <t>elucidator</t>
  </si>
  <si>
    <t>consensus</t>
  </si>
  <si>
    <t>User1</t>
  </si>
  <si>
    <t>User2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</si>
</sst>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000000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3.0"/>
      <color rgb="FF000000"/>
      <name val="Calibri"/>
    </font>
    <font>
      <sz val="14.0"/>
      <color rgb="FF000000"/>
      <name val="Calibri"/>
    </font>
    <font>
      <sz val="13.0"/>
      <color theme="1"/>
      <name val="&quot;Arial&quot;"/>
    </font>
    <font>
      <sz val="14.0"/>
      <color theme="1"/>
      <name val="Calibri"/>
      <scheme val="minor"/>
    </font>
    <font>
      <sz val="12.0"/>
      <color theme="1"/>
      <name val="&quot;Arial&quot;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3" numFmtId="4" xfId="0" applyAlignment="1" applyFont="1" applyNumberFormat="1">
      <alignment horizontal="left" shrinkToFit="0" wrapText="1"/>
    </xf>
    <xf borderId="0" fillId="0" fontId="7" numFmtId="0" xfId="0" applyAlignment="1" applyFont="1">
      <alignment horizontal="left" readingOrder="0"/>
    </xf>
    <xf borderId="0" fillId="0" fontId="6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left" shrinkToFit="0" vertical="bottom" wrapText="1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9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3" fontId="12" numFmtId="0" xfId="0" applyAlignment="1" applyBorder="1" applyFill="1" applyFont="1">
      <alignment horizontal="center"/>
    </xf>
    <xf borderId="1" fillId="4" fontId="12" numFmtId="0" xfId="0" applyAlignment="1" applyBorder="1" applyFill="1" applyFont="1">
      <alignment horizontal="center"/>
    </xf>
    <xf borderId="0" fillId="0" fontId="11" numFmtId="0" xfId="0" applyFont="1"/>
    <xf borderId="0" fillId="0" fontId="11" numFmtId="2" xfId="0" applyAlignment="1" applyFont="1" applyNumberFormat="1">
      <alignment horizontal="center"/>
    </xf>
    <xf borderId="0" fillId="0" fontId="11" numFmtId="2" xfId="0" applyFont="1" applyNumberFormat="1"/>
    <xf borderId="0" fillId="0" fontId="10" numFmtId="2" xfId="0" applyAlignment="1" applyFont="1" applyNumberFormat="1">
      <alignment horizontal="center"/>
    </xf>
    <xf borderId="0" fillId="0" fontId="13" numFmtId="0" xfId="0" applyFont="1"/>
    <xf borderId="0" fillId="0" fontId="10" numFmtId="2" xfId="0" applyAlignment="1" applyFont="1" applyNumberFormat="1">
      <alignment horizontal="center" vertical="center"/>
    </xf>
    <xf borderId="0" fillId="0" fontId="11" numFmtId="0" xfId="0" applyAlignment="1" applyFont="1">
      <alignment readingOrder="0"/>
    </xf>
    <xf borderId="0" fillId="0" fontId="11" numFmtId="2" xfId="0" applyAlignment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2" numFmtId="2" xfId="0" applyAlignment="1" applyFont="1" applyNumberFormat="1">
      <alignment horizontal="center"/>
    </xf>
    <xf borderId="0" fillId="0" fontId="13" numFmtId="2" xfId="0" applyFont="1" applyNumberFormat="1"/>
    <xf borderId="1" fillId="5" fontId="11" numFmtId="0" xfId="0" applyAlignment="1" applyBorder="1" applyFill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Auto_PH4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Class!$B$13:$B$21</c:f>
            </c:strRef>
          </c:cat>
          <c:val>
            <c:numRef>
              <c:f>Class!$C$13:$C$21</c:f>
              <c:numCache/>
            </c:numRef>
          </c:val>
        </c:ser>
        <c:ser>
          <c:idx val="1"/>
          <c:order val="1"/>
          <c:tx>
            <c:v>db_AutoPH4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Class!$B$13:$B$21</c:f>
            </c:strRef>
          </c:cat>
          <c:val>
            <c:numRef>
              <c:f>Class!$D$13:$D$21</c:f>
              <c:numCache/>
            </c:numRef>
          </c:val>
        </c:ser>
        <c:ser>
          <c:idx val="2"/>
          <c:order val="2"/>
          <c:tx>
            <c:v>Elucidator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cat>
            <c:strRef>
              <c:f>Class!$B$13:$B$21</c:f>
            </c:strRef>
          </c:cat>
          <c:val>
            <c:numRef>
              <c:f>Class!$F$13:$F$21</c:f>
              <c:numCache/>
            </c:numRef>
          </c:val>
        </c:ser>
        <c:ser>
          <c:idx val="3"/>
          <c:order val="3"/>
          <c:tx>
            <c:v>Reverse_FP partial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Class!$B$13:$B$21</c:f>
            </c:strRef>
          </c:cat>
          <c:val>
            <c:numRef>
              <c:f>Class!$L$13:$L$21</c:f>
              <c:numCache/>
            </c:numRef>
          </c:val>
        </c:ser>
        <c:ser>
          <c:idx val="4"/>
          <c:order val="4"/>
          <c:tx>
            <c:v>Average Users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Class!$B$13:$B$21</c:f>
            </c:strRef>
          </c:cat>
          <c:val>
            <c:numRef>
              <c:f>Class!$M$13:$M$21</c:f>
              <c:numCache/>
            </c:numRef>
          </c:val>
        </c:ser>
        <c:axId val="1221658928"/>
        <c:axId val="1477843131"/>
      </c:barChart>
      <c:catAx>
        <c:axId val="122165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7843131"/>
      </c:catAx>
      <c:valAx>
        <c:axId val="1477843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16589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Auto_PH4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Class!$B$2:$B$10</c:f>
            </c:strRef>
          </c:cat>
          <c:val>
            <c:numRef>
              <c:f>Class!$C$2:$C$10</c:f>
              <c:numCache/>
            </c:numRef>
          </c:val>
        </c:ser>
        <c:ser>
          <c:idx val="1"/>
          <c:order val="1"/>
          <c:tx>
            <c:v>db_AutoPH4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Class!$B$2:$B$10</c:f>
            </c:strRef>
          </c:cat>
          <c:val>
            <c:numRef>
              <c:f>Class!$D$2:$D$10</c:f>
              <c:numCache/>
            </c:numRef>
          </c:val>
        </c:ser>
        <c:ser>
          <c:idx val="2"/>
          <c:order val="2"/>
          <c:tx>
            <c:v>Elucidator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cat>
            <c:strRef>
              <c:f>Class!$B$2:$B$10</c:f>
            </c:strRef>
          </c:cat>
          <c:val>
            <c:numRef>
              <c:f>Class!$F$2:$F$10</c:f>
              <c:numCache/>
            </c:numRef>
          </c:val>
        </c:ser>
        <c:ser>
          <c:idx val="3"/>
          <c:order val="3"/>
          <c:tx>
            <c:v>Reverse_FP partial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Class!$B$2:$B$10</c:f>
            </c:strRef>
          </c:cat>
          <c:val>
            <c:numRef>
              <c:f>Class!$L$2:$L$10</c:f>
              <c:numCache/>
            </c:numRef>
          </c:val>
        </c:ser>
        <c:ser>
          <c:idx val="4"/>
          <c:order val="4"/>
          <c:tx>
            <c:v>Average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Class!$B$2:$B$10</c:f>
            </c:strRef>
          </c:cat>
          <c:val>
            <c:numRef>
              <c:f>Class!$M$2:$M$10</c:f>
              <c:numCache/>
            </c:numRef>
          </c:val>
        </c:ser>
        <c:axId val="141776332"/>
        <c:axId val="1634346558"/>
      </c:barChart>
      <c:catAx>
        <c:axId val="141776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4346558"/>
      </c:catAx>
      <c:valAx>
        <c:axId val="1634346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77633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All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Diversity'!$AD$2:$AD$59</c:f>
              <c:numCache/>
            </c:numRef>
          </c:val>
          <c:smooth val="0"/>
        </c:ser>
        <c:ser>
          <c:idx val="1"/>
          <c:order val="1"/>
          <c:tx>
            <c:v>AutoPH4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Diversity'!$AE$2:$AE$59</c:f>
              <c:numCache/>
            </c:numRef>
          </c:val>
          <c:smooth val="0"/>
        </c:ser>
        <c:ser>
          <c:idx val="2"/>
          <c:order val="2"/>
          <c:tx>
            <c:v>db_autoPH4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Diversity'!$AF$2:$AF$59</c:f>
              <c:numCache/>
            </c:numRef>
          </c:val>
          <c:smooth val="0"/>
        </c:ser>
        <c:ser>
          <c:idx val="3"/>
          <c:order val="3"/>
          <c:tx>
            <c:v>partial_reverseFP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Diversity'!$AG$2:$AG$59</c:f>
              <c:numCache/>
            </c:numRef>
          </c:val>
          <c:smooth val="0"/>
        </c:ser>
        <c:ser>
          <c:idx val="4"/>
          <c:order val="4"/>
          <c:tx>
            <c:v>elucidator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Diversity'!$AH$2:$AH$59</c:f>
              <c:numCache/>
            </c:numRef>
          </c:val>
          <c:smooth val="0"/>
        </c:ser>
        <c:ser>
          <c:idx val="5"/>
          <c:order val="5"/>
          <c:tx>
            <c:v>User1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Diversity'!$AI$2:$AI$59</c:f>
              <c:numCache/>
            </c:numRef>
          </c:val>
          <c:smooth val="0"/>
        </c:ser>
        <c:ser>
          <c:idx val="6"/>
          <c:order val="6"/>
          <c:tx>
            <c:v>User2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Diversity'!$AJ$2:$AJ$59</c:f>
              <c:numCache/>
            </c:numRef>
          </c:val>
          <c:smooth val="0"/>
        </c:ser>
        <c:ser>
          <c:idx val="7"/>
          <c:order val="7"/>
          <c:tx>
            <c:v>consensus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'JAK2 Diversity'!$AC$2:$AC$59</c:f>
            </c:strRef>
          </c:cat>
          <c:val>
            <c:numRef>
              <c:f>'JAK2 Diversity'!$AK$2:$AK$59</c:f>
              <c:numCache/>
            </c:numRef>
          </c:val>
          <c:smooth val="0"/>
        </c:ser>
        <c:axId val="1816929351"/>
        <c:axId val="564252726"/>
      </c:lineChart>
      <c:catAx>
        <c:axId val="1816929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4252726"/>
      </c:catAx>
      <c:valAx>
        <c:axId val="564252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69293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All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Diversity'!$AE$2:$AE$21</c:f>
              <c:numCache/>
            </c:numRef>
          </c:val>
          <c:smooth val="0"/>
        </c:ser>
        <c:ser>
          <c:idx val="1"/>
          <c:order val="1"/>
          <c:tx>
            <c:v>AutoPH4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Diversity'!$AF$2:$AF$21</c:f>
              <c:numCache/>
            </c:numRef>
          </c:val>
          <c:smooth val="0"/>
        </c:ser>
        <c:ser>
          <c:idx val="2"/>
          <c:order val="2"/>
          <c:tx>
            <c:v>db_autoPH4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Diversity'!$AG$2:$AG$21</c:f>
              <c:numCache/>
            </c:numRef>
          </c:val>
          <c:smooth val="0"/>
        </c:ser>
        <c:ser>
          <c:idx val="3"/>
          <c:order val="3"/>
          <c:tx>
            <c:v>partial_reverseFP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Diversity'!$AH$2:$AH$21</c:f>
              <c:numCache/>
            </c:numRef>
          </c:val>
          <c:smooth val="0"/>
        </c:ser>
        <c:ser>
          <c:idx val="4"/>
          <c:order val="4"/>
          <c:tx>
            <c:v>elucidator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Diversity'!$AI$2:$AI$21</c:f>
              <c:numCache/>
            </c:numRef>
          </c:val>
          <c:smooth val="0"/>
        </c:ser>
        <c:ser>
          <c:idx val="5"/>
          <c:order val="5"/>
          <c:tx>
            <c:v>User1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Diversity'!$AJ$2:$AJ$21</c:f>
              <c:numCache/>
            </c:numRef>
          </c:val>
          <c:smooth val="0"/>
        </c:ser>
        <c:ser>
          <c:idx val="6"/>
          <c:order val="6"/>
          <c:tx>
            <c:v>User2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Diversity'!$AK$2:$AK$21</c:f>
              <c:numCache/>
            </c:numRef>
          </c:val>
          <c:smooth val="0"/>
        </c:ser>
        <c:ser>
          <c:idx val="7"/>
          <c:order val="7"/>
          <c:tx>
            <c:v>consensus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'CXCR4 Diversity'!$AD$2:$AD$21</c:f>
            </c:strRef>
          </c:cat>
          <c:val>
            <c:numRef>
              <c:f>'CXCR4 Diversity'!$AL$2:$AL$21</c:f>
              <c:numCache/>
            </c:numRef>
          </c:val>
          <c:smooth val="0"/>
        </c:ser>
        <c:axId val="570542625"/>
        <c:axId val="58649969"/>
      </c:lineChart>
      <c:catAx>
        <c:axId val="570542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649969"/>
      </c:catAx>
      <c:valAx>
        <c:axId val="58649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05426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All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Diversity'!$AD$2:$AD$241</c:f>
              <c:numCache/>
            </c:numRef>
          </c:val>
          <c:smooth val="0"/>
        </c:ser>
        <c:ser>
          <c:idx val="1"/>
          <c:order val="1"/>
          <c:tx>
            <c:v>AutoPH4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Diversity'!$AE$2:$AE$241</c:f>
              <c:numCache/>
            </c:numRef>
          </c:val>
          <c:smooth val="0"/>
        </c:ser>
        <c:ser>
          <c:idx val="2"/>
          <c:order val="2"/>
          <c:tx>
            <c:v>db_autoPH4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Diversity'!$AF$2:$AF$241</c:f>
              <c:numCache/>
            </c:numRef>
          </c:val>
          <c:smooth val="0"/>
        </c:ser>
        <c:ser>
          <c:idx val="3"/>
          <c:order val="3"/>
          <c:tx>
            <c:v>partial_reverseFP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Diversity'!$AG$2:$AG$241</c:f>
              <c:numCache/>
            </c:numRef>
          </c:val>
          <c:smooth val="0"/>
        </c:ser>
        <c:ser>
          <c:idx val="4"/>
          <c:order val="4"/>
          <c:tx>
            <c:v>elucidator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Diversity'!$AH$2:$AH$241</c:f>
              <c:numCache/>
            </c:numRef>
          </c:val>
          <c:smooth val="0"/>
        </c:ser>
        <c:ser>
          <c:idx val="5"/>
          <c:order val="5"/>
          <c:tx>
            <c:v>User1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Diversity'!$AI$2:$AI$241</c:f>
              <c:numCache/>
            </c:numRef>
          </c:val>
          <c:smooth val="0"/>
        </c:ser>
        <c:ser>
          <c:idx val="6"/>
          <c:order val="6"/>
          <c:tx>
            <c:v>User2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Diversity'!$AJ$2:$AJ$241</c:f>
              <c:numCache/>
            </c:numRef>
          </c:val>
          <c:smooth val="0"/>
        </c:ser>
        <c:ser>
          <c:idx val="7"/>
          <c:order val="7"/>
          <c:tx>
            <c:v>consensus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'MMP13 Diversity'!$AC$2:$AC$241</c:f>
            </c:strRef>
          </c:cat>
          <c:val>
            <c:numRef>
              <c:f>'MMP13 Diversity'!$AK$2:$AK$241</c:f>
              <c:numCache/>
            </c:numRef>
          </c:val>
          <c:smooth val="0"/>
        </c:ser>
        <c:axId val="1404353033"/>
        <c:axId val="841230558"/>
      </c:lineChart>
      <c:catAx>
        <c:axId val="1404353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1230558"/>
      </c:catAx>
      <c:valAx>
        <c:axId val="841230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43530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16</xdr:row>
      <xdr:rowOff>38100</xdr:rowOff>
    </xdr:from>
    <xdr:ext cx="4438650" cy="2876550"/>
    <xdr:graphicFrame>
      <xdr:nvGraphicFramePr>
        <xdr:cNvPr id="190402211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66675</xdr:colOff>
      <xdr:row>0</xdr:row>
      <xdr:rowOff>95250</xdr:rowOff>
    </xdr:from>
    <xdr:ext cx="4438650" cy="2876550"/>
    <xdr:graphicFrame>
      <xdr:nvGraphicFramePr>
        <xdr:cNvPr id="13085999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85725</xdr:colOff>
      <xdr:row>18</xdr:row>
      <xdr:rowOff>9525</xdr:rowOff>
    </xdr:from>
    <xdr:ext cx="4438650" cy="2876550"/>
    <xdr:graphicFrame>
      <xdr:nvGraphicFramePr>
        <xdr:cNvPr id="143611353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409575</xdr:colOff>
      <xdr:row>14</xdr:row>
      <xdr:rowOff>76200</xdr:rowOff>
    </xdr:from>
    <xdr:ext cx="5248275" cy="3609975"/>
    <xdr:graphicFrame>
      <xdr:nvGraphicFramePr>
        <xdr:cNvPr id="184713939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57150</xdr:colOff>
      <xdr:row>5</xdr:row>
      <xdr:rowOff>38100</xdr:rowOff>
    </xdr:from>
    <xdr:ext cx="6943725" cy="5191125"/>
    <xdr:graphicFrame>
      <xdr:nvGraphicFramePr>
        <xdr:cNvPr id="63581056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5">
      <c r="A15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/>
      <c r="C1" s="5" t="s">
        <v>27</v>
      </c>
      <c r="G1" s="6"/>
      <c r="H1" s="5" t="s">
        <v>28</v>
      </c>
    </row>
    <row r="2">
      <c r="A2" s="4"/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33</v>
      </c>
    </row>
    <row r="3">
      <c r="A3" s="5" t="s">
        <v>38</v>
      </c>
      <c r="B3" s="5" t="s">
        <v>39</v>
      </c>
      <c r="C3" s="8">
        <v>0.87</v>
      </c>
      <c r="D3" s="8">
        <v>0.95</v>
      </c>
      <c r="E3" s="8">
        <v>1.0</v>
      </c>
      <c r="F3" s="8">
        <v>0.94</v>
      </c>
      <c r="G3" s="8">
        <f t="shared" ref="G3:G11" si="1">MEDIAN(C3:F3)</f>
        <v>0.945</v>
      </c>
      <c r="H3" s="8">
        <v>0.8</v>
      </c>
      <c r="I3" s="8">
        <v>0.97</v>
      </c>
      <c r="J3" s="8">
        <v>1.0</v>
      </c>
      <c r="K3" s="8">
        <v>0.96</v>
      </c>
      <c r="L3" s="8">
        <f t="shared" ref="L3:L11" si="2">MEDIAN(H3:K3)</f>
        <v>0.965</v>
      </c>
    </row>
    <row r="4">
      <c r="A4" s="4"/>
      <c r="B4" s="5" t="s">
        <v>40</v>
      </c>
      <c r="C4" s="8">
        <v>0.83</v>
      </c>
      <c r="D4" s="8">
        <v>0.68</v>
      </c>
      <c r="E4" s="8">
        <v>1.0</v>
      </c>
      <c r="F4" s="8">
        <v>0.83</v>
      </c>
      <c r="G4" s="8">
        <f t="shared" si="1"/>
        <v>0.83</v>
      </c>
      <c r="H4" s="8">
        <v>0.7</v>
      </c>
      <c r="I4" s="8">
        <v>0.89</v>
      </c>
      <c r="J4" s="8">
        <v>0.79</v>
      </c>
      <c r="K4" s="8">
        <v>0.75</v>
      </c>
      <c r="L4" s="8">
        <f t="shared" si="2"/>
        <v>0.77</v>
      </c>
    </row>
    <row r="5">
      <c r="A5" s="5" t="s">
        <v>41</v>
      </c>
      <c r="B5" s="5" t="s">
        <v>42</v>
      </c>
      <c r="C5" s="8">
        <v>0.95</v>
      </c>
      <c r="D5" s="8">
        <v>0.97</v>
      </c>
      <c r="E5" s="8">
        <v>1.0</v>
      </c>
      <c r="F5" s="8">
        <v>0.6</v>
      </c>
      <c r="G5" s="8">
        <f t="shared" si="1"/>
        <v>0.96</v>
      </c>
      <c r="H5" s="9">
        <v>0.0</v>
      </c>
      <c r="I5" s="8">
        <v>0.77</v>
      </c>
      <c r="J5" s="8">
        <v>0.62</v>
      </c>
      <c r="K5" s="9">
        <v>0.0</v>
      </c>
      <c r="L5" s="8">
        <f t="shared" si="2"/>
        <v>0.31</v>
      </c>
    </row>
    <row r="6">
      <c r="A6" s="4"/>
      <c r="B6" s="5" t="s">
        <v>43</v>
      </c>
      <c r="C6" s="8">
        <v>0.76</v>
      </c>
      <c r="D6" s="8">
        <v>0.95</v>
      </c>
      <c r="E6" s="8">
        <v>0.63</v>
      </c>
      <c r="F6" s="8">
        <v>0.72</v>
      </c>
      <c r="G6" s="8">
        <f t="shared" si="1"/>
        <v>0.74</v>
      </c>
      <c r="H6" s="8">
        <v>0.74</v>
      </c>
      <c r="I6" s="8">
        <v>0.75</v>
      </c>
      <c r="J6" s="8">
        <v>0.58</v>
      </c>
      <c r="K6" s="9">
        <v>0.0</v>
      </c>
      <c r="L6" s="8">
        <f t="shared" si="2"/>
        <v>0.66</v>
      </c>
    </row>
    <row r="7">
      <c r="A7" s="5" t="s">
        <v>44</v>
      </c>
      <c r="B7" s="5" t="s">
        <v>45</v>
      </c>
      <c r="C7" s="8">
        <v>0.89</v>
      </c>
      <c r="D7" s="8">
        <v>0.14</v>
      </c>
      <c r="E7" s="8">
        <v>1.0</v>
      </c>
      <c r="F7" s="8">
        <v>0.75</v>
      </c>
      <c r="G7" s="8">
        <f t="shared" si="1"/>
        <v>0.82</v>
      </c>
      <c r="H7" s="8">
        <v>0.68</v>
      </c>
      <c r="I7" s="9">
        <v>0.0</v>
      </c>
      <c r="J7" s="8">
        <v>0.73</v>
      </c>
      <c r="K7" s="9">
        <v>0.0</v>
      </c>
      <c r="L7" s="8">
        <f t="shared" si="2"/>
        <v>0.34</v>
      </c>
    </row>
    <row r="8">
      <c r="A8" s="4"/>
      <c r="B8" s="5" t="s">
        <v>46</v>
      </c>
      <c r="C8" s="8">
        <v>0.98</v>
      </c>
      <c r="D8" s="8">
        <v>0.79</v>
      </c>
      <c r="E8" s="8">
        <v>1.0</v>
      </c>
      <c r="F8" s="8">
        <v>0.67</v>
      </c>
      <c r="G8" s="8">
        <f t="shared" si="1"/>
        <v>0.885</v>
      </c>
      <c r="H8" s="8">
        <v>0.94</v>
      </c>
      <c r="I8" s="8">
        <v>1.0</v>
      </c>
      <c r="J8" s="8">
        <v>0.98</v>
      </c>
      <c r="K8" s="8">
        <v>0.94</v>
      </c>
      <c r="L8" s="8">
        <f t="shared" si="2"/>
        <v>0.96</v>
      </c>
    </row>
    <row r="9">
      <c r="A9" s="5" t="s">
        <v>47</v>
      </c>
      <c r="B9" s="5" t="s">
        <v>48</v>
      </c>
      <c r="C9" s="8">
        <v>0.89</v>
      </c>
      <c r="D9" s="8">
        <v>0.84</v>
      </c>
      <c r="E9" s="8">
        <v>1.0</v>
      </c>
      <c r="F9" s="8">
        <v>0.85</v>
      </c>
      <c r="G9" s="8">
        <f t="shared" si="1"/>
        <v>0.87</v>
      </c>
      <c r="H9" s="8">
        <v>0.98</v>
      </c>
      <c r="I9" s="8">
        <v>0.59</v>
      </c>
      <c r="J9" s="9">
        <v>0.0</v>
      </c>
      <c r="K9" s="9">
        <v>0.0</v>
      </c>
      <c r="L9" s="8">
        <f t="shared" si="2"/>
        <v>0.295</v>
      </c>
    </row>
    <row r="10">
      <c r="A10" s="4"/>
      <c r="B10" s="5" t="s">
        <v>49</v>
      </c>
      <c r="C10" s="8">
        <v>0.43</v>
      </c>
      <c r="D10" s="8">
        <v>0.54</v>
      </c>
      <c r="E10" s="8">
        <v>0.65</v>
      </c>
      <c r="F10" s="8">
        <v>0.75</v>
      </c>
      <c r="G10" s="8">
        <f t="shared" si="1"/>
        <v>0.595</v>
      </c>
      <c r="H10" s="8">
        <v>0.55</v>
      </c>
      <c r="I10" s="8">
        <v>0.56</v>
      </c>
      <c r="J10" s="8">
        <v>0.67</v>
      </c>
      <c r="K10" s="8">
        <v>0.65</v>
      </c>
      <c r="L10" s="8">
        <f t="shared" si="2"/>
        <v>0.605</v>
      </c>
    </row>
    <row r="11">
      <c r="A11" s="4"/>
      <c r="B11" s="5" t="s">
        <v>50</v>
      </c>
      <c r="C11" s="8">
        <v>0.96</v>
      </c>
      <c r="D11" s="8">
        <v>0.76</v>
      </c>
      <c r="E11" s="8">
        <v>0.98</v>
      </c>
      <c r="F11" s="8">
        <v>0.65</v>
      </c>
      <c r="G11" s="8">
        <f t="shared" si="1"/>
        <v>0.86</v>
      </c>
      <c r="H11" s="8">
        <v>0.54</v>
      </c>
      <c r="I11" s="8">
        <v>0.27</v>
      </c>
      <c r="J11" s="8">
        <v>0.92</v>
      </c>
      <c r="K11" s="8">
        <v>0.95</v>
      </c>
      <c r="L11" s="8">
        <f t="shared" si="2"/>
        <v>0.73</v>
      </c>
    </row>
    <row r="12">
      <c r="A12" s="4"/>
      <c r="B12" s="5" t="s">
        <v>33</v>
      </c>
      <c r="C12" s="8">
        <f t="shared" ref="C12:F12" si="3">MEDIAN(C3:C11)</f>
        <v>0.89</v>
      </c>
      <c r="D12" s="8">
        <f t="shared" si="3"/>
        <v>0.79</v>
      </c>
      <c r="E12" s="8">
        <f t="shared" si="3"/>
        <v>1</v>
      </c>
      <c r="F12" s="8">
        <f t="shared" si="3"/>
        <v>0.75</v>
      </c>
      <c r="G12" s="10"/>
      <c r="H12" s="8">
        <f t="shared" ref="H12:K12" si="4">MEDIAN(H3:H11)</f>
        <v>0.7</v>
      </c>
      <c r="I12" s="8">
        <f t="shared" si="4"/>
        <v>0.75</v>
      </c>
      <c r="J12" s="8">
        <f t="shared" si="4"/>
        <v>0.73</v>
      </c>
      <c r="K12" s="8">
        <f t="shared" si="4"/>
        <v>0.65</v>
      </c>
      <c r="L12" s="10"/>
    </row>
    <row r="14">
      <c r="A14" s="11" t="s">
        <v>51</v>
      </c>
    </row>
  </sheetData>
  <mergeCells count="4">
    <mergeCell ref="A1:B1"/>
    <mergeCell ref="C1:F1"/>
    <mergeCell ref="H1:L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/>
      <c r="C1" s="5" t="s">
        <v>27</v>
      </c>
      <c r="G1" s="5"/>
      <c r="H1" s="5" t="s">
        <v>28</v>
      </c>
    </row>
    <row r="2">
      <c r="A2" s="4"/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33</v>
      </c>
    </row>
    <row r="3">
      <c r="A3" s="5" t="s">
        <v>38</v>
      </c>
      <c r="B3" s="5" t="s">
        <v>39</v>
      </c>
      <c r="C3" s="12">
        <v>0.36</v>
      </c>
      <c r="D3" s="12">
        <v>0.04</v>
      </c>
      <c r="E3" s="12">
        <v>0.06</v>
      </c>
      <c r="F3" s="12">
        <v>0.09</v>
      </c>
      <c r="G3" s="12">
        <f t="shared" ref="G3:G11" si="1">MEDIAN(C3:F3)</f>
        <v>0.075</v>
      </c>
      <c r="H3" s="12">
        <v>0.35</v>
      </c>
      <c r="I3" s="12">
        <v>0.2</v>
      </c>
      <c r="J3" s="12">
        <v>0.12</v>
      </c>
      <c r="K3" s="12">
        <v>0.27</v>
      </c>
      <c r="L3" s="12">
        <f t="shared" ref="L3:L11" si="2">MEDIAN(H3:K3)</f>
        <v>0.235</v>
      </c>
    </row>
    <row r="4">
      <c r="A4" s="4"/>
      <c r="B4" s="5" t="s">
        <v>40</v>
      </c>
      <c r="C4" s="12">
        <v>0.7</v>
      </c>
      <c r="D4" s="12">
        <v>0.85</v>
      </c>
      <c r="E4" s="12">
        <v>0.03</v>
      </c>
      <c r="F4" s="12">
        <v>0.25</v>
      </c>
      <c r="G4" s="12">
        <f t="shared" si="1"/>
        <v>0.475</v>
      </c>
      <c r="H4" s="12">
        <v>0.11</v>
      </c>
      <c r="I4" s="12">
        <v>0.48</v>
      </c>
      <c r="J4" s="12">
        <v>0.11</v>
      </c>
      <c r="K4" s="12">
        <v>0.8</v>
      </c>
      <c r="L4" s="12">
        <f t="shared" si="2"/>
        <v>0.295</v>
      </c>
    </row>
    <row r="5">
      <c r="A5" s="5" t="s">
        <v>41</v>
      </c>
      <c r="B5" s="5" t="s">
        <v>42</v>
      </c>
      <c r="C5" s="12">
        <v>0.45</v>
      </c>
      <c r="D5" s="12">
        <v>0.43</v>
      </c>
      <c r="E5" s="12">
        <v>0.38</v>
      </c>
      <c r="F5" s="12">
        <v>0.6</v>
      </c>
      <c r="G5" s="12">
        <f t="shared" si="1"/>
        <v>0.44</v>
      </c>
      <c r="H5" s="12">
        <v>0.0</v>
      </c>
      <c r="I5" s="12">
        <v>0.58</v>
      </c>
      <c r="J5" s="12">
        <v>1.0</v>
      </c>
      <c r="K5" s="12">
        <v>0.48</v>
      </c>
      <c r="L5" s="12">
        <f t="shared" si="2"/>
        <v>0.53</v>
      </c>
    </row>
    <row r="6">
      <c r="A6" s="4"/>
      <c r="B6" s="5" t="s">
        <v>43</v>
      </c>
      <c r="C6" s="12">
        <v>0.22</v>
      </c>
      <c r="D6" s="12">
        <v>0.04</v>
      </c>
      <c r="E6" s="12">
        <v>0.86</v>
      </c>
      <c r="F6" s="12">
        <v>0.53</v>
      </c>
      <c r="G6" s="12">
        <f t="shared" si="1"/>
        <v>0.375</v>
      </c>
      <c r="H6" s="12">
        <v>0.21</v>
      </c>
      <c r="I6" s="12">
        <v>0.11</v>
      </c>
      <c r="J6" s="12">
        <v>0.79</v>
      </c>
      <c r="K6" s="13">
        <v>0.0</v>
      </c>
      <c r="L6" s="12">
        <f t="shared" si="2"/>
        <v>0.16</v>
      </c>
    </row>
    <row r="7">
      <c r="A7" s="5" t="s">
        <v>44</v>
      </c>
      <c r="B7" s="5" t="s">
        <v>45</v>
      </c>
      <c r="C7" s="12">
        <v>0.07</v>
      </c>
      <c r="D7" s="12">
        <v>0.03</v>
      </c>
      <c r="E7" s="12">
        <v>0.01</v>
      </c>
      <c r="F7" s="12">
        <v>0.81</v>
      </c>
      <c r="G7" s="12">
        <f t="shared" si="1"/>
        <v>0.05</v>
      </c>
      <c r="H7" s="12">
        <v>0.01</v>
      </c>
      <c r="I7" s="12">
        <v>0.0</v>
      </c>
      <c r="J7" s="12">
        <v>0.04</v>
      </c>
      <c r="K7" s="13">
        <v>0.0</v>
      </c>
      <c r="L7" s="12">
        <f t="shared" si="2"/>
        <v>0.005</v>
      </c>
    </row>
    <row r="8">
      <c r="A8" s="4"/>
      <c r="B8" s="5" t="s">
        <v>46</v>
      </c>
      <c r="C8" s="12">
        <v>0.26</v>
      </c>
      <c r="D8" s="12">
        <v>0.51</v>
      </c>
      <c r="E8" s="12">
        <v>0.0</v>
      </c>
      <c r="F8" s="12">
        <v>0.62</v>
      </c>
      <c r="G8" s="12">
        <f t="shared" si="1"/>
        <v>0.385</v>
      </c>
      <c r="H8" s="12">
        <v>0.47</v>
      </c>
      <c r="I8" s="12">
        <v>0.06</v>
      </c>
      <c r="J8" s="12">
        <v>0.45</v>
      </c>
      <c r="K8" s="12">
        <v>0.02</v>
      </c>
      <c r="L8" s="12">
        <f t="shared" si="2"/>
        <v>0.255</v>
      </c>
    </row>
    <row r="9">
      <c r="A9" s="5" t="s">
        <v>47</v>
      </c>
      <c r="B9" s="5" t="s">
        <v>48</v>
      </c>
      <c r="C9" s="12">
        <v>0.31</v>
      </c>
      <c r="D9" s="12">
        <v>0.31</v>
      </c>
      <c r="E9" s="12">
        <v>0.21</v>
      </c>
      <c r="F9" s="12">
        <v>0.54</v>
      </c>
      <c r="G9" s="12">
        <f t="shared" si="1"/>
        <v>0.31</v>
      </c>
      <c r="H9" s="12">
        <v>0.06</v>
      </c>
      <c r="I9" s="12">
        <v>0.4</v>
      </c>
      <c r="J9" s="13">
        <v>0.0</v>
      </c>
      <c r="K9" s="13">
        <v>0.0</v>
      </c>
      <c r="L9" s="12">
        <f t="shared" si="2"/>
        <v>0.03</v>
      </c>
    </row>
    <row r="10">
      <c r="A10" s="4"/>
      <c r="B10" s="5" t="s">
        <v>49</v>
      </c>
      <c r="C10" s="12">
        <v>0.1</v>
      </c>
      <c r="D10" s="12">
        <v>0.19</v>
      </c>
      <c r="E10" s="12">
        <v>0.74</v>
      </c>
      <c r="F10" s="12">
        <v>0.72</v>
      </c>
      <c r="G10" s="12">
        <f t="shared" si="1"/>
        <v>0.455</v>
      </c>
      <c r="H10" s="12">
        <v>0.88</v>
      </c>
      <c r="I10" s="12">
        <v>0.88</v>
      </c>
      <c r="J10" s="12">
        <v>0.25</v>
      </c>
      <c r="K10" s="12">
        <v>0.05</v>
      </c>
      <c r="L10" s="12">
        <f t="shared" si="2"/>
        <v>0.565</v>
      </c>
    </row>
    <row r="11">
      <c r="A11" s="4"/>
      <c r="B11" s="5" t="s">
        <v>50</v>
      </c>
      <c r="C11" s="12">
        <v>0.38</v>
      </c>
      <c r="D11" s="12">
        <v>0.61</v>
      </c>
      <c r="E11" s="12">
        <v>0.01</v>
      </c>
      <c r="F11" s="12">
        <v>0.66</v>
      </c>
      <c r="G11" s="12">
        <f t="shared" si="1"/>
        <v>0.495</v>
      </c>
      <c r="H11" s="12">
        <v>0.43</v>
      </c>
      <c r="I11" s="12">
        <v>0.07</v>
      </c>
      <c r="J11" s="12">
        <v>0.01</v>
      </c>
      <c r="K11" s="12">
        <v>0.01</v>
      </c>
      <c r="L11" s="12">
        <f t="shared" si="2"/>
        <v>0.04</v>
      </c>
    </row>
    <row r="12">
      <c r="A12" s="4"/>
      <c r="B12" s="5" t="s">
        <v>33</v>
      </c>
      <c r="C12" s="12">
        <f t="shared" ref="C12:F12" si="3">MEDIAN(C3:C11)</f>
        <v>0.31</v>
      </c>
      <c r="D12" s="12">
        <f t="shared" si="3"/>
        <v>0.31</v>
      </c>
      <c r="E12" s="12">
        <f t="shared" si="3"/>
        <v>0.06</v>
      </c>
      <c r="F12" s="12">
        <f t="shared" si="3"/>
        <v>0.6</v>
      </c>
      <c r="G12" s="12"/>
      <c r="H12" s="12">
        <f t="shared" ref="H12:K12" si="4">MEDIAN(H3:H11)</f>
        <v>0.21</v>
      </c>
      <c r="I12" s="12">
        <f t="shared" si="4"/>
        <v>0.2</v>
      </c>
      <c r="J12" s="12">
        <f t="shared" si="4"/>
        <v>0.12</v>
      </c>
      <c r="K12" s="12">
        <f t="shared" si="4"/>
        <v>0.02</v>
      </c>
      <c r="L12" s="14"/>
    </row>
    <row r="14">
      <c r="A14" s="15" t="s">
        <v>52</v>
      </c>
    </row>
  </sheetData>
  <mergeCells count="4">
    <mergeCell ref="A1:B1"/>
    <mergeCell ref="C1:F1"/>
    <mergeCell ref="H1:L1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16" t="s">
        <v>53</v>
      </c>
      <c r="D1" s="16" t="s">
        <v>54</v>
      </c>
      <c r="E1" s="16" t="s">
        <v>55</v>
      </c>
    </row>
    <row r="2">
      <c r="A2" s="3" t="s">
        <v>38</v>
      </c>
      <c r="B2" s="3" t="s">
        <v>39</v>
      </c>
      <c r="C2" s="17">
        <v>0.945</v>
      </c>
      <c r="D2" s="17">
        <v>0.965</v>
      </c>
      <c r="E2" s="17">
        <v>0.97</v>
      </c>
      <c r="F2" s="18"/>
      <c r="H2" s="18"/>
      <c r="I2" s="18"/>
      <c r="J2" s="18"/>
      <c r="K2" s="18"/>
    </row>
    <row r="3">
      <c r="B3" s="3" t="s">
        <v>40</v>
      </c>
      <c r="C3" s="17">
        <v>0.83</v>
      </c>
      <c r="D3" s="17">
        <v>0.77</v>
      </c>
      <c r="E3" s="17">
        <v>0.93</v>
      </c>
      <c r="F3" s="18"/>
      <c r="H3" s="18"/>
      <c r="I3" s="18"/>
      <c r="J3" s="18"/>
      <c r="K3" s="18"/>
    </row>
    <row r="4">
      <c r="A4" s="3" t="s">
        <v>41</v>
      </c>
      <c r="B4" s="3" t="s">
        <v>42</v>
      </c>
      <c r="C4" s="17">
        <v>0.96</v>
      </c>
      <c r="D4" s="17">
        <v>0.31</v>
      </c>
      <c r="E4" s="17">
        <v>0.97</v>
      </c>
      <c r="F4" s="18"/>
      <c r="H4" s="18"/>
      <c r="I4" s="18"/>
      <c r="J4" s="18"/>
      <c r="K4" s="18"/>
    </row>
    <row r="5">
      <c r="B5" s="3" t="s">
        <v>43</v>
      </c>
      <c r="C5" s="17">
        <v>0.74</v>
      </c>
      <c r="D5" s="17">
        <v>0.6599999999999999</v>
      </c>
      <c r="E5" s="17">
        <v>0.86</v>
      </c>
      <c r="F5" s="18"/>
      <c r="H5" s="18"/>
      <c r="I5" s="18"/>
      <c r="J5" s="18"/>
      <c r="K5" s="18"/>
    </row>
    <row r="6">
      <c r="A6" s="3" t="s">
        <v>44</v>
      </c>
      <c r="B6" s="3" t="s">
        <v>45</v>
      </c>
      <c r="C6" s="17">
        <v>0.8200000000000001</v>
      </c>
      <c r="D6" s="17">
        <v>0.34</v>
      </c>
      <c r="E6" s="17">
        <v>0.95</v>
      </c>
      <c r="F6" s="18"/>
      <c r="H6" s="18"/>
      <c r="I6" s="18"/>
      <c r="J6" s="18"/>
      <c r="K6" s="18"/>
    </row>
    <row r="7">
      <c r="B7" s="3" t="s">
        <v>46</v>
      </c>
      <c r="C7" s="17">
        <v>0.885</v>
      </c>
      <c r="D7" s="17">
        <v>0.96</v>
      </c>
      <c r="E7" s="17">
        <v>0.99</v>
      </c>
      <c r="F7" s="18"/>
      <c r="H7" s="18"/>
      <c r="I7" s="18"/>
      <c r="J7" s="18"/>
      <c r="K7" s="18"/>
    </row>
    <row r="8">
      <c r="A8" s="3" t="s">
        <v>47</v>
      </c>
      <c r="B8" s="3" t="s">
        <v>48</v>
      </c>
      <c r="C8" s="17">
        <v>0.87</v>
      </c>
      <c r="D8" s="17">
        <v>0.295</v>
      </c>
      <c r="E8" s="17">
        <v>0.98</v>
      </c>
      <c r="F8" s="18"/>
      <c r="H8" s="18"/>
      <c r="I8" s="18"/>
      <c r="J8" s="18"/>
      <c r="K8" s="18"/>
    </row>
    <row r="9">
      <c r="B9" s="3" t="s">
        <v>49</v>
      </c>
      <c r="C9" s="17">
        <v>0.595</v>
      </c>
      <c r="D9" s="17">
        <v>0.605</v>
      </c>
      <c r="E9" s="17">
        <v>0.71</v>
      </c>
      <c r="F9" s="18"/>
      <c r="H9" s="18"/>
      <c r="I9" s="18"/>
      <c r="J9" s="18"/>
      <c r="K9" s="18"/>
    </row>
    <row r="10">
      <c r="B10" s="3" t="s">
        <v>50</v>
      </c>
      <c r="C10" s="17">
        <v>0.86</v>
      </c>
      <c r="D10" s="17">
        <v>0.73</v>
      </c>
      <c r="E10" s="17">
        <v>0.94</v>
      </c>
      <c r="F10" s="18"/>
      <c r="H10" s="18"/>
      <c r="I10" s="18"/>
      <c r="J10" s="18"/>
      <c r="K10" s="18"/>
    </row>
    <row r="11">
      <c r="C11" s="17"/>
      <c r="D11" s="17"/>
      <c r="E11" s="18"/>
      <c r="F11" s="18"/>
      <c r="G11" s="19"/>
      <c r="H11" s="18"/>
      <c r="I11" s="18"/>
      <c r="J11" s="18"/>
      <c r="K11" s="18"/>
      <c r="L11" s="19"/>
    </row>
    <row r="12">
      <c r="A12" s="20" t="s">
        <v>56</v>
      </c>
      <c r="C12" s="21"/>
      <c r="D12" s="21"/>
    </row>
    <row r="13">
      <c r="C13" s="21"/>
      <c r="D13" s="21"/>
    </row>
    <row r="14">
      <c r="C14" s="21"/>
      <c r="D14" s="21"/>
    </row>
    <row r="15">
      <c r="C15" s="21"/>
      <c r="D15" s="21"/>
    </row>
    <row r="16">
      <c r="C16" s="21"/>
      <c r="D16" s="21"/>
    </row>
    <row r="17">
      <c r="C17" s="21"/>
      <c r="D17" s="21"/>
    </row>
    <row r="18">
      <c r="C18" s="21"/>
      <c r="D18" s="21"/>
    </row>
    <row r="19">
      <c r="C19" s="21"/>
      <c r="D19" s="21"/>
    </row>
    <row r="20">
      <c r="C20" s="21"/>
      <c r="D20" s="21"/>
    </row>
    <row r="21">
      <c r="C21" s="21"/>
      <c r="D21" s="21"/>
    </row>
    <row r="22">
      <c r="C22" s="21"/>
      <c r="D22" s="21"/>
    </row>
    <row r="23">
      <c r="C23" s="21"/>
      <c r="D23" s="21"/>
    </row>
    <row r="24">
      <c r="C24" s="21"/>
      <c r="D24" s="21"/>
    </row>
    <row r="25">
      <c r="C25" s="21"/>
      <c r="D25" s="21"/>
    </row>
    <row r="26">
      <c r="C26" s="21"/>
      <c r="D26" s="21"/>
    </row>
    <row r="27">
      <c r="C27" s="21"/>
      <c r="D27" s="21"/>
    </row>
    <row r="28">
      <c r="C28" s="21"/>
      <c r="D28" s="21"/>
    </row>
    <row r="29">
      <c r="C29" s="21"/>
      <c r="D29" s="21"/>
    </row>
    <row r="30">
      <c r="C30" s="21"/>
      <c r="D30" s="21"/>
    </row>
    <row r="31">
      <c r="C31" s="21"/>
      <c r="D31" s="21"/>
    </row>
    <row r="32">
      <c r="C32" s="21"/>
      <c r="D32" s="21"/>
    </row>
    <row r="33">
      <c r="C33" s="21"/>
      <c r="D33" s="21"/>
    </row>
    <row r="34">
      <c r="C34" s="21"/>
      <c r="D34" s="21"/>
    </row>
    <row r="35">
      <c r="C35" s="21"/>
      <c r="D35" s="21"/>
    </row>
    <row r="36">
      <c r="C36" s="21"/>
      <c r="D36" s="21"/>
    </row>
    <row r="37">
      <c r="C37" s="21"/>
      <c r="D37" s="21"/>
    </row>
    <row r="38">
      <c r="C38" s="21"/>
      <c r="D38" s="21"/>
    </row>
    <row r="39">
      <c r="C39" s="21"/>
      <c r="D39" s="21"/>
    </row>
    <row r="40">
      <c r="C40" s="21"/>
      <c r="D40" s="21"/>
    </row>
    <row r="41">
      <c r="C41" s="21"/>
      <c r="D41" s="21"/>
    </row>
    <row r="42">
      <c r="C42" s="21"/>
      <c r="D42" s="21"/>
    </row>
    <row r="43">
      <c r="C43" s="21"/>
      <c r="D43" s="21"/>
    </row>
    <row r="44">
      <c r="C44" s="21"/>
      <c r="D44" s="21"/>
    </row>
    <row r="45">
      <c r="C45" s="21"/>
      <c r="D45" s="21"/>
    </row>
    <row r="46">
      <c r="C46" s="21"/>
      <c r="D46" s="21"/>
    </row>
    <row r="47">
      <c r="C47" s="21"/>
      <c r="D47" s="21"/>
    </row>
    <row r="48">
      <c r="C48" s="21"/>
      <c r="D48" s="21"/>
    </row>
    <row r="49">
      <c r="C49" s="21"/>
      <c r="D49" s="21"/>
    </row>
    <row r="50">
      <c r="C50" s="21"/>
      <c r="D50" s="21"/>
    </row>
    <row r="51">
      <c r="C51" s="21"/>
      <c r="D51" s="21"/>
    </row>
    <row r="52">
      <c r="C52" s="21"/>
      <c r="D52" s="21"/>
    </row>
    <row r="53">
      <c r="C53" s="21"/>
      <c r="D53" s="21"/>
    </row>
    <row r="54">
      <c r="C54" s="21"/>
      <c r="D54" s="21"/>
    </row>
    <row r="55">
      <c r="C55" s="21"/>
      <c r="D55" s="21"/>
    </row>
    <row r="56">
      <c r="C56" s="21"/>
      <c r="D56" s="21"/>
    </row>
    <row r="57">
      <c r="C57" s="21"/>
      <c r="D57" s="21"/>
    </row>
    <row r="58">
      <c r="C58" s="21"/>
      <c r="D58" s="21"/>
    </row>
    <row r="59">
      <c r="C59" s="21"/>
      <c r="D59" s="21"/>
    </row>
    <row r="60">
      <c r="C60" s="21"/>
      <c r="D60" s="21"/>
    </row>
    <row r="61">
      <c r="C61" s="21"/>
      <c r="D61" s="21"/>
    </row>
    <row r="62">
      <c r="C62" s="21"/>
      <c r="D62" s="21"/>
    </row>
    <row r="63">
      <c r="C63" s="21"/>
      <c r="D63" s="21"/>
    </row>
    <row r="64">
      <c r="C64" s="21"/>
      <c r="D64" s="21"/>
    </row>
    <row r="65">
      <c r="C65" s="21"/>
      <c r="D65" s="21"/>
    </row>
    <row r="66">
      <c r="C66" s="21"/>
      <c r="D66" s="21"/>
    </row>
    <row r="67">
      <c r="C67" s="21"/>
      <c r="D67" s="21"/>
    </row>
    <row r="68">
      <c r="C68" s="21"/>
      <c r="D68" s="21"/>
    </row>
    <row r="69">
      <c r="C69" s="21"/>
      <c r="D69" s="21"/>
    </row>
    <row r="70">
      <c r="C70" s="21"/>
      <c r="D70" s="21"/>
    </row>
    <row r="71">
      <c r="C71" s="21"/>
      <c r="D71" s="21"/>
    </row>
    <row r="72">
      <c r="C72" s="21"/>
      <c r="D72" s="21"/>
    </row>
    <row r="73">
      <c r="C73" s="21"/>
      <c r="D73" s="21"/>
    </row>
    <row r="74">
      <c r="C74" s="21"/>
      <c r="D74" s="21"/>
    </row>
    <row r="75">
      <c r="C75" s="21"/>
      <c r="D75" s="21"/>
    </row>
    <row r="76">
      <c r="C76" s="21"/>
      <c r="D76" s="21"/>
    </row>
    <row r="77">
      <c r="C77" s="21"/>
      <c r="D77" s="21"/>
    </row>
    <row r="78">
      <c r="C78" s="21"/>
      <c r="D78" s="21"/>
    </row>
    <row r="79">
      <c r="C79" s="21"/>
      <c r="D79" s="21"/>
    </row>
    <row r="80">
      <c r="C80" s="21"/>
      <c r="D80" s="21"/>
    </row>
    <row r="81">
      <c r="C81" s="21"/>
      <c r="D81" s="21"/>
    </row>
    <row r="82">
      <c r="C82" s="21"/>
      <c r="D82" s="21"/>
    </row>
    <row r="83">
      <c r="C83" s="21"/>
      <c r="D83" s="21"/>
    </row>
    <row r="84">
      <c r="C84" s="21"/>
      <c r="D84" s="21"/>
    </row>
    <row r="85">
      <c r="C85" s="21"/>
      <c r="D85" s="21"/>
    </row>
    <row r="86">
      <c r="C86" s="21"/>
      <c r="D86" s="21"/>
    </row>
    <row r="87">
      <c r="C87" s="21"/>
      <c r="D87" s="21"/>
    </row>
    <row r="88">
      <c r="C88" s="21"/>
      <c r="D88" s="21"/>
    </row>
    <row r="89">
      <c r="C89" s="21"/>
      <c r="D89" s="21"/>
    </row>
    <row r="90">
      <c r="C90" s="21"/>
      <c r="D90" s="21"/>
    </row>
    <row r="91">
      <c r="C91" s="21"/>
      <c r="D91" s="21"/>
    </row>
    <row r="92">
      <c r="C92" s="21"/>
      <c r="D92" s="21"/>
    </row>
    <row r="93">
      <c r="C93" s="21"/>
      <c r="D93" s="21"/>
    </row>
    <row r="94">
      <c r="C94" s="21"/>
      <c r="D94" s="21"/>
    </row>
    <row r="95">
      <c r="C95" s="21"/>
      <c r="D95" s="21"/>
    </row>
    <row r="96">
      <c r="C96" s="21"/>
      <c r="D96" s="21"/>
    </row>
    <row r="97">
      <c r="C97" s="21"/>
      <c r="D97" s="21"/>
    </row>
    <row r="98">
      <c r="C98" s="21"/>
      <c r="D98" s="21"/>
    </row>
    <row r="99">
      <c r="C99" s="21"/>
      <c r="D99" s="21"/>
    </row>
    <row r="100">
      <c r="C100" s="21"/>
      <c r="D100" s="21"/>
    </row>
    <row r="101">
      <c r="C101" s="21"/>
      <c r="D101" s="21"/>
    </row>
    <row r="102">
      <c r="C102" s="21"/>
      <c r="D102" s="21"/>
    </row>
    <row r="103">
      <c r="C103" s="21"/>
      <c r="D103" s="21"/>
    </row>
    <row r="104">
      <c r="C104" s="21"/>
      <c r="D104" s="21"/>
    </row>
    <row r="105">
      <c r="C105" s="21"/>
      <c r="D105" s="21"/>
    </row>
    <row r="106">
      <c r="C106" s="21"/>
      <c r="D106" s="21"/>
    </row>
    <row r="107">
      <c r="C107" s="21"/>
      <c r="D107" s="21"/>
    </row>
    <row r="108">
      <c r="C108" s="21"/>
      <c r="D108" s="21"/>
    </row>
    <row r="109">
      <c r="C109" s="21"/>
      <c r="D109" s="21"/>
    </row>
    <row r="110">
      <c r="C110" s="21"/>
      <c r="D110" s="21"/>
    </row>
    <row r="111">
      <c r="C111" s="21"/>
      <c r="D111" s="21"/>
    </row>
    <row r="112">
      <c r="C112" s="21"/>
      <c r="D112" s="21"/>
    </row>
    <row r="113">
      <c r="C113" s="21"/>
      <c r="D113" s="21"/>
    </row>
    <row r="114">
      <c r="C114" s="21"/>
      <c r="D114" s="21"/>
    </row>
    <row r="115">
      <c r="C115" s="21"/>
      <c r="D115" s="21"/>
    </row>
    <row r="116">
      <c r="C116" s="21"/>
      <c r="D116" s="21"/>
    </row>
    <row r="117">
      <c r="C117" s="21"/>
      <c r="D117" s="21"/>
    </row>
    <row r="118">
      <c r="C118" s="21"/>
      <c r="D118" s="21"/>
    </row>
    <row r="119">
      <c r="C119" s="21"/>
      <c r="D119" s="21"/>
    </row>
    <row r="120">
      <c r="C120" s="21"/>
      <c r="D120" s="21"/>
    </row>
    <row r="121">
      <c r="C121" s="21"/>
      <c r="D121" s="21"/>
    </row>
    <row r="122">
      <c r="C122" s="21"/>
      <c r="D122" s="21"/>
    </row>
    <row r="123">
      <c r="C123" s="21"/>
      <c r="D123" s="21"/>
    </row>
    <row r="124">
      <c r="C124" s="21"/>
      <c r="D124" s="21"/>
    </row>
    <row r="125">
      <c r="C125" s="21"/>
      <c r="D125" s="21"/>
    </row>
    <row r="126">
      <c r="C126" s="21"/>
      <c r="D126" s="21"/>
    </row>
    <row r="127">
      <c r="C127" s="21"/>
      <c r="D127" s="21"/>
    </row>
    <row r="128">
      <c r="C128" s="21"/>
      <c r="D128" s="21"/>
    </row>
    <row r="129">
      <c r="C129" s="21"/>
      <c r="D129" s="21"/>
    </row>
    <row r="130">
      <c r="C130" s="21"/>
      <c r="D130" s="21"/>
    </row>
    <row r="131">
      <c r="C131" s="21"/>
      <c r="D131" s="21"/>
    </row>
    <row r="132">
      <c r="C132" s="21"/>
      <c r="D132" s="21"/>
    </row>
    <row r="133">
      <c r="C133" s="21"/>
      <c r="D133" s="21"/>
    </row>
    <row r="134">
      <c r="C134" s="21"/>
      <c r="D134" s="21"/>
    </row>
    <row r="135">
      <c r="C135" s="21"/>
      <c r="D135" s="21"/>
    </row>
    <row r="136">
      <c r="C136" s="21"/>
      <c r="D136" s="21"/>
    </row>
    <row r="137">
      <c r="C137" s="21"/>
      <c r="D137" s="21"/>
    </row>
    <row r="138">
      <c r="C138" s="21"/>
      <c r="D138" s="21"/>
    </row>
    <row r="139">
      <c r="C139" s="21"/>
      <c r="D139" s="21"/>
    </row>
    <row r="140">
      <c r="C140" s="21"/>
      <c r="D140" s="21"/>
    </row>
    <row r="141">
      <c r="C141" s="21"/>
      <c r="D141" s="21"/>
    </row>
    <row r="142">
      <c r="C142" s="21"/>
      <c r="D142" s="21"/>
    </row>
    <row r="143">
      <c r="C143" s="21"/>
      <c r="D143" s="21"/>
    </row>
    <row r="144">
      <c r="C144" s="21"/>
      <c r="D144" s="21"/>
    </row>
    <row r="145">
      <c r="C145" s="21"/>
      <c r="D145" s="21"/>
    </row>
    <row r="146">
      <c r="C146" s="21"/>
      <c r="D146" s="21"/>
    </row>
    <row r="147">
      <c r="C147" s="21"/>
      <c r="D147" s="21"/>
    </row>
    <row r="148">
      <c r="C148" s="21"/>
      <c r="D148" s="21"/>
    </row>
    <row r="149">
      <c r="C149" s="21"/>
      <c r="D149" s="21"/>
    </row>
    <row r="150">
      <c r="C150" s="21"/>
      <c r="D150" s="21"/>
    </row>
    <row r="151">
      <c r="C151" s="21"/>
      <c r="D151" s="21"/>
    </row>
    <row r="152">
      <c r="C152" s="21"/>
      <c r="D152" s="21"/>
    </row>
    <row r="153">
      <c r="C153" s="21"/>
      <c r="D153" s="21"/>
    </row>
    <row r="154">
      <c r="C154" s="21"/>
      <c r="D154" s="21"/>
    </row>
    <row r="155">
      <c r="C155" s="21"/>
      <c r="D155" s="21"/>
    </row>
    <row r="156">
      <c r="C156" s="21"/>
      <c r="D156" s="21"/>
    </row>
    <row r="157">
      <c r="C157" s="21"/>
      <c r="D157" s="21"/>
    </row>
    <row r="158">
      <c r="C158" s="21"/>
      <c r="D158" s="21"/>
    </row>
    <row r="159">
      <c r="C159" s="21"/>
      <c r="D159" s="21"/>
    </row>
    <row r="160">
      <c r="C160" s="21"/>
      <c r="D160" s="21"/>
    </row>
    <row r="161">
      <c r="C161" s="21"/>
      <c r="D161" s="21"/>
    </row>
    <row r="162">
      <c r="C162" s="21"/>
      <c r="D162" s="21"/>
    </row>
    <row r="163">
      <c r="C163" s="21"/>
      <c r="D163" s="21"/>
    </row>
    <row r="164">
      <c r="C164" s="21"/>
      <c r="D164" s="21"/>
    </row>
    <row r="165">
      <c r="C165" s="21"/>
      <c r="D165" s="21"/>
    </row>
    <row r="166">
      <c r="C166" s="21"/>
      <c r="D166" s="21"/>
    </row>
    <row r="167">
      <c r="C167" s="21"/>
      <c r="D167" s="21"/>
    </row>
    <row r="168">
      <c r="C168" s="21"/>
      <c r="D168" s="21"/>
    </row>
    <row r="169">
      <c r="C169" s="21"/>
      <c r="D169" s="21"/>
    </row>
    <row r="170">
      <c r="C170" s="21"/>
      <c r="D170" s="21"/>
    </row>
    <row r="171">
      <c r="C171" s="21"/>
      <c r="D171" s="21"/>
    </row>
    <row r="172">
      <c r="C172" s="21"/>
      <c r="D172" s="21"/>
    </row>
    <row r="173">
      <c r="C173" s="21"/>
      <c r="D173" s="21"/>
    </row>
    <row r="174">
      <c r="C174" s="21"/>
      <c r="D174" s="21"/>
    </row>
    <row r="175">
      <c r="C175" s="21"/>
      <c r="D175" s="21"/>
    </row>
    <row r="176">
      <c r="C176" s="21"/>
      <c r="D176" s="21"/>
    </row>
    <row r="177">
      <c r="C177" s="21"/>
      <c r="D177" s="21"/>
    </row>
    <row r="178">
      <c r="C178" s="21"/>
      <c r="D178" s="21"/>
    </row>
    <row r="179">
      <c r="C179" s="21"/>
      <c r="D179" s="21"/>
    </row>
    <row r="180">
      <c r="C180" s="21"/>
      <c r="D180" s="21"/>
    </row>
    <row r="181">
      <c r="C181" s="21"/>
      <c r="D181" s="21"/>
    </row>
    <row r="182">
      <c r="C182" s="21"/>
      <c r="D182" s="21"/>
    </row>
    <row r="183">
      <c r="C183" s="21"/>
      <c r="D183" s="21"/>
    </row>
    <row r="184">
      <c r="C184" s="21"/>
      <c r="D184" s="21"/>
    </row>
    <row r="185">
      <c r="C185" s="21"/>
      <c r="D185" s="21"/>
    </row>
    <row r="186">
      <c r="C186" s="21"/>
      <c r="D186" s="21"/>
    </row>
    <row r="187">
      <c r="C187" s="21"/>
      <c r="D187" s="21"/>
    </row>
    <row r="188">
      <c r="C188" s="21"/>
      <c r="D188" s="21"/>
    </row>
    <row r="189">
      <c r="C189" s="21"/>
      <c r="D189" s="21"/>
    </row>
    <row r="190">
      <c r="C190" s="21"/>
      <c r="D190" s="21"/>
    </row>
    <row r="191">
      <c r="C191" s="21"/>
      <c r="D191" s="21"/>
    </row>
    <row r="192">
      <c r="C192" s="21"/>
      <c r="D192" s="21"/>
    </row>
    <row r="193">
      <c r="C193" s="21"/>
      <c r="D193" s="21"/>
    </row>
    <row r="194">
      <c r="C194" s="21"/>
      <c r="D194" s="21"/>
    </row>
    <row r="195">
      <c r="C195" s="21"/>
      <c r="D195" s="21"/>
    </row>
    <row r="196">
      <c r="C196" s="21"/>
      <c r="D196" s="21"/>
    </row>
    <row r="197">
      <c r="C197" s="21"/>
      <c r="D197" s="21"/>
    </row>
    <row r="198">
      <c r="C198" s="21"/>
      <c r="D198" s="21"/>
    </row>
    <row r="199">
      <c r="C199" s="21"/>
      <c r="D199" s="21"/>
    </row>
    <row r="200">
      <c r="C200" s="21"/>
      <c r="D200" s="21"/>
    </row>
    <row r="201">
      <c r="C201" s="21"/>
      <c r="D201" s="21"/>
    </row>
    <row r="202">
      <c r="C202" s="21"/>
      <c r="D202" s="21"/>
    </row>
    <row r="203">
      <c r="C203" s="21"/>
      <c r="D203" s="21"/>
    </row>
    <row r="204">
      <c r="C204" s="21"/>
      <c r="D204" s="21"/>
    </row>
    <row r="205">
      <c r="C205" s="21"/>
      <c r="D205" s="21"/>
    </row>
    <row r="206">
      <c r="C206" s="21"/>
      <c r="D206" s="21"/>
    </row>
    <row r="207">
      <c r="C207" s="21"/>
      <c r="D207" s="21"/>
    </row>
    <row r="208">
      <c r="C208" s="21"/>
      <c r="D208" s="21"/>
    </row>
    <row r="209">
      <c r="C209" s="21"/>
      <c r="D209" s="21"/>
    </row>
    <row r="210">
      <c r="C210" s="21"/>
      <c r="D210" s="21"/>
    </row>
    <row r="211">
      <c r="C211" s="21"/>
      <c r="D211" s="21"/>
    </row>
    <row r="212">
      <c r="C212" s="21"/>
      <c r="D212" s="21"/>
    </row>
    <row r="213">
      <c r="C213" s="21"/>
      <c r="D213" s="21"/>
    </row>
    <row r="214">
      <c r="C214" s="21"/>
      <c r="D214" s="21"/>
    </row>
    <row r="215">
      <c r="C215" s="21"/>
      <c r="D215" s="21"/>
    </row>
    <row r="216">
      <c r="C216" s="21"/>
      <c r="D216" s="21"/>
    </row>
    <row r="217">
      <c r="C217" s="21"/>
      <c r="D217" s="21"/>
    </row>
    <row r="218">
      <c r="C218" s="21"/>
      <c r="D218" s="21"/>
    </row>
    <row r="219">
      <c r="C219" s="21"/>
      <c r="D219" s="21"/>
    </row>
    <row r="220">
      <c r="C220" s="21"/>
      <c r="D220" s="21"/>
    </row>
    <row r="221">
      <c r="C221" s="21"/>
      <c r="D221" s="21"/>
    </row>
    <row r="222">
      <c r="C222" s="21"/>
      <c r="D222" s="21"/>
    </row>
    <row r="223">
      <c r="C223" s="21"/>
      <c r="D223" s="21"/>
    </row>
    <row r="224">
      <c r="C224" s="21"/>
      <c r="D224" s="21"/>
    </row>
    <row r="225">
      <c r="C225" s="21"/>
      <c r="D225" s="21"/>
    </row>
    <row r="226">
      <c r="C226" s="21"/>
      <c r="D226" s="21"/>
    </row>
    <row r="227">
      <c r="C227" s="21"/>
      <c r="D227" s="21"/>
    </row>
    <row r="228">
      <c r="C228" s="21"/>
      <c r="D228" s="21"/>
    </row>
    <row r="229">
      <c r="C229" s="21"/>
      <c r="D229" s="21"/>
    </row>
    <row r="230">
      <c r="C230" s="21"/>
      <c r="D230" s="21"/>
    </row>
    <row r="231">
      <c r="C231" s="21"/>
      <c r="D231" s="21"/>
    </row>
    <row r="232">
      <c r="C232" s="21"/>
      <c r="D232" s="21"/>
    </row>
    <row r="233">
      <c r="C233" s="21"/>
      <c r="D233" s="21"/>
    </row>
    <row r="234">
      <c r="C234" s="21"/>
      <c r="D234" s="21"/>
    </row>
    <row r="235">
      <c r="C235" s="21"/>
      <c r="D235" s="21"/>
    </row>
    <row r="236">
      <c r="C236" s="21"/>
      <c r="D236" s="21"/>
    </row>
    <row r="237">
      <c r="C237" s="21"/>
      <c r="D237" s="21"/>
    </row>
    <row r="238">
      <c r="C238" s="21"/>
      <c r="D238" s="21"/>
    </row>
    <row r="239">
      <c r="C239" s="21"/>
      <c r="D239" s="21"/>
    </row>
    <row r="240">
      <c r="C240" s="21"/>
      <c r="D240" s="21"/>
    </row>
    <row r="241">
      <c r="C241" s="21"/>
      <c r="D241" s="21"/>
    </row>
    <row r="242">
      <c r="C242" s="21"/>
      <c r="D242" s="21"/>
    </row>
    <row r="243">
      <c r="C243" s="21"/>
      <c r="D243" s="21"/>
    </row>
    <row r="244">
      <c r="C244" s="21"/>
      <c r="D244" s="21"/>
    </row>
    <row r="245">
      <c r="C245" s="21"/>
      <c r="D245" s="21"/>
    </row>
    <row r="246">
      <c r="C246" s="21"/>
      <c r="D246" s="21"/>
    </row>
    <row r="247">
      <c r="C247" s="21"/>
      <c r="D247" s="21"/>
    </row>
    <row r="248">
      <c r="C248" s="21"/>
      <c r="D248" s="21"/>
    </row>
    <row r="249">
      <c r="C249" s="21"/>
      <c r="D249" s="21"/>
    </row>
    <row r="250">
      <c r="C250" s="21"/>
      <c r="D250" s="21"/>
    </row>
    <row r="251">
      <c r="C251" s="21"/>
      <c r="D251" s="21"/>
    </row>
    <row r="252">
      <c r="C252" s="21"/>
      <c r="D252" s="21"/>
    </row>
    <row r="253">
      <c r="C253" s="21"/>
      <c r="D253" s="21"/>
    </row>
    <row r="254">
      <c r="C254" s="21"/>
      <c r="D254" s="21"/>
    </row>
    <row r="255">
      <c r="C255" s="21"/>
      <c r="D255" s="21"/>
    </row>
    <row r="256">
      <c r="C256" s="21"/>
      <c r="D256" s="21"/>
    </row>
    <row r="257">
      <c r="C257" s="21"/>
      <c r="D257" s="21"/>
    </row>
    <row r="258">
      <c r="C258" s="21"/>
      <c r="D258" s="21"/>
    </row>
    <row r="259">
      <c r="C259" s="21"/>
      <c r="D259" s="21"/>
    </row>
    <row r="260">
      <c r="C260" s="21"/>
      <c r="D260" s="21"/>
    </row>
    <row r="261">
      <c r="C261" s="21"/>
      <c r="D261" s="21"/>
    </row>
    <row r="262">
      <c r="C262" s="21"/>
      <c r="D262" s="21"/>
    </row>
    <row r="263">
      <c r="C263" s="21"/>
      <c r="D263" s="21"/>
    </row>
    <row r="264">
      <c r="C264" s="21"/>
      <c r="D264" s="21"/>
    </row>
    <row r="265">
      <c r="C265" s="21"/>
      <c r="D265" s="21"/>
    </row>
    <row r="266">
      <c r="C266" s="21"/>
      <c r="D266" s="21"/>
    </row>
    <row r="267">
      <c r="C267" s="21"/>
      <c r="D267" s="21"/>
    </row>
    <row r="268">
      <c r="C268" s="21"/>
      <c r="D268" s="21"/>
    </row>
    <row r="269">
      <c r="C269" s="21"/>
      <c r="D269" s="21"/>
    </row>
    <row r="270">
      <c r="C270" s="21"/>
      <c r="D270" s="21"/>
    </row>
    <row r="271">
      <c r="C271" s="21"/>
      <c r="D271" s="21"/>
    </row>
    <row r="272">
      <c r="C272" s="21"/>
      <c r="D272" s="21"/>
    </row>
    <row r="273">
      <c r="C273" s="21"/>
      <c r="D273" s="21"/>
    </row>
    <row r="274">
      <c r="C274" s="21"/>
      <c r="D274" s="21"/>
    </row>
    <row r="275">
      <c r="C275" s="21"/>
      <c r="D275" s="21"/>
    </row>
    <row r="276">
      <c r="C276" s="21"/>
      <c r="D276" s="21"/>
    </row>
    <row r="277">
      <c r="C277" s="21"/>
      <c r="D277" s="21"/>
    </row>
    <row r="278">
      <c r="C278" s="21"/>
      <c r="D278" s="21"/>
    </row>
    <row r="279">
      <c r="C279" s="21"/>
      <c r="D279" s="21"/>
    </row>
    <row r="280">
      <c r="C280" s="21"/>
      <c r="D280" s="21"/>
    </row>
    <row r="281">
      <c r="C281" s="21"/>
      <c r="D281" s="21"/>
    </row>
    <row r="282">
      <c r="C282" s="21"/>
      <c r="D282" s="21"/>
    </row>
    <row r="283">
      <c r="C283" s="21"/>
      <c r="D283" s="21"/>
    </row>
    <row r="284">
      <c r="C284" s="21"/>
      <c r="D284" s="21"/>
    </row>
    <row r="285">
      <c r="C285" s="21"/>
      <c r="D285" s="21"/>
    </row>
    <row r="286">
      <c r="C286" s="21"/>
      <c r="D286" s="21"/>
    </row>
    <row r="287">
      <c r="C287" s="21"/>
      <c r="D287" s="21"/>
    </row>
    <row r="288">
      <c r="C288" s="21"/>
      <c r="D288" s="21"/>
    </row>
    <row r="289">
      <c r="C289" s="21"/>
      <c r="D289" s="21"/>
    </row>
    <row r="290">
      <c r="C290" s="21"/>
      <c r="D290" s="21"/>
    </row>
    <row r="291">
      <c r="C291" s="21"/>
      <c r="D291" s="21"/>
    </row>
    <row r="292">
      <c r="C292" s="21"/>
      <c r="D292" s="21"/>
    </row>
    <row r="293">
      <c r="C293" s="21"/>
      <c r="D293" s="21"/>
    </row>
    <row r="294">
      <c r="C294" s="21"/>
      <c r="D294" s="21"/>
    </row>
    <row r="295">
      <c r="C295" s="21"/>
      <c r="D295" s="21"/>
    </row>
    <row r="296">
      <c r="C296" s="21"/>
      <c r="D296" s="21"/>
    </row>
    <row r="297">
      <c r="C297" s="21"/>
      <c r="D297" s="21"/>
    </row>
    <row r="298">
      <c r="C298" s="21"/>
      <c r="D298" s="21"/>
    </row>
    <row r="299">
      <c r="C299" s="21"/>
      <c r="D299" s="21"/>
    </row>
    <row r="300">
      <c r="C300" s="21"/>
      <c r="D300" s="21"/>
    </row>
    <row r="301">
      <c r="C301" s="21"/>
      <c r="D301" s="21"/>
    </row>
    <row r="302">
      <c r="C302" s="21"/>
      <c r="D302" s="21"/>
    </row>
    <row r="303">
      <c r="C303" s="21"/>
      <c r="D303" s="21"/>
    </row>
    <row r="304">
      <c r="C304" s="21"/>
      <c r="D304" s="21"/>
    </row>
    <row r="305">
      <c r="C305" s="21"/>
      <c r="D305" s="21"/>
    </row>
    <row r="306">
      <c r="C306" s="21"/>
      <c r="D306" s="21"/>
    </row>
    <row r="307">
      <c r="C307" s="21"/>
      <c r="D307" s="21"/>
    </row>
    <row r="308">
      <c r="C308" s="21"/>
      <c r="D308" s="21"/>
    </row>
    <row r="309">
      <c r="C309" s="21"/>
      <c r="D309" s="21"/>
    </row>
    <row r="310">
      <c r="C310" s="21"/>
      <c r="D310" s="21"/>
    </row>
    <row r="311">
      <c r="C311" s="21"/>
      <c r="D311" s="21"/>
    </row>
    <row r="312">
      <c r="C312" s="21"/>
      <c r="D312" s="21"/>
    </row>
    <row r="313">
      <c r="C313" s="21"/>
      <c r="D313" s="21"/>
    </row>
    <row r="314">
      <c r="C314" s="21"/>
      <c r="D314" s="21"/>
    </row>
    <row r="315">
      <c r="C315" s="21"/>
      <c r="D315" s="21"/>
    </row>
    <row r="316">
      <c r="C316" s="21"/>
      <c r="D316" s="21"/>
    </row>
    <row r="317">
      <c r="C317" s="21"/>
      <c r="D317" s="21"/>
    </row>
    <row r="318">
      <c r="C318" s="21"/>
      <c r="D318" s="21"/>
    </row>
    <row r="319">
      <c r="C319" s="21"/>
      <c r="D319" s="21"/>
    </row>
    <row r="320">
      <c r="C320" s="21"/>
      <c r="D320" s="21"/>
    </row>
    <row r="321">
      <c r="C321" s="21"/>
      <c r="D321" s="21"/>
    </row>
    <row r="322">
      <c r="C322" s="21"/>
      <c r="D322" s="21"/>
    </row>
    <row r="323">
      <c r="C323" s="21"/>
      <c r="D323" s="21"/>
    </row>
    <row r="324">
      <c r="C324" s="21"/>
      <c r="D324" s="21"/>
    </row>
    <row r="325">
      <c r="C325" s="21"/>
      <c r="D325" s="21"/>
    </row>
    <row r="326">
      <c r="C326" s="21"/>
      <c r="D326" s="21"/>
    </row>
    <row r="327">
      <c r="C327" s="21"/>
      <c r="D327" s="21"/>
    </row>
    <row r="328">
      <c r="C328" s="21"/>
      <c r="D328" s="21"/>
    </row>
    <row r="329">
      <c r="C329" s="21"/>
      <c r="D329" s="21"/>
    </row>
    <row r="330">
      <c r="C330" s="21"/>
      <c r="D330" s="21"/>
    </row>
    <row r="331">
      <c r="C331" s="21"/>
      <c r="D331" s="21"/>
    </row>
    <row r="332">
      <c r="C332" s="21"/>
      <c r="D332" s="21"/>
    </row>
    <row r="333">
      <c r="C333" s="21"/>
      <c r="D333" s="21"/>
    </row>
    <row r="334">
      <c r="C334" s="21"/>
      <c r="D334" s="21"/>
    </row>
    <row r="335">
      <c r="C335" s="21"/>
      <c r="D335" s="21"/>
    </row>
    <row r="336">
      <c r="C336" s="21"/>
      <c r="D336" s="21"/>
    </row>
    <row r="337">
      <c r="C337" s="21"/>
      <c r="D337" s="21"/>
    </row>
    <row r="338">
      <c r="C338" s="21"/>
      <c r="D338" s="21"/>
    </row>
    <row r="339">
      <c r="C339" s="21"/>
      <c r="D339" s="21"/>
    </row>
    <row r="340">
      <c r="C340" s="21"/>
      <c r="D340" s="21"/>
    </row>
    <row r="341">
      <c r="C341" s="21"/>
      <c r="D341" s="21"/>
    </row>
    <row r="342">
      <c r="C342" s="21"/>
      <c r="D342" s="21"/>
    </row>
    <row r="343">
      <c r="C343" s="21"/>
      <c r="D343" s="21"/>
    </row>
    <row r="344">
      <c r="C344" s="21"/>
      <c r="D344" s="21"/>
    </row>
    <row r="345">
      <c r="C345" s="21"/>
      <c r="D345" s="21"/>
    </row>
    <row r="346">
      <c r="C346" s="21"/>
      <c r="D346" s="21"/>
    </row>
    <row r="347">
      <c r="C347" s="21"/>
      <c r="D347" s="21"/>
    </row>
    <row r="348">
      <c r="C348" s="21"/>
      <c r="D348" s="21"/>
    </row>
    <row r="349">
      <c r="C349" s="21"/>
      <c r="D349" s="21"/>
    </row>
    <row r="350">
      <c r="C350" s="21"/>
      <c r="D350" s="21"/>
    </row>
    <row r="351">
      <c r="C351" s="21"/>
      <c r="D351" s="21"/>
    </row>
    <row r="352">
      <c r="C352" s="21"/>
      <c r="D352" s="21"/>
    </row>
    <row r="353">
      <c r="C353" s="21"/>
      <c r="D353" s="21"/>
    </row>
    <row r="354">
      <c r="C354" s="21"/>
      <c r="D354" s="21"/>
    </row>
    <row r="355">
      <c r="C355" s="21"/>
      <c r="D355" s="21"/>
    </row>
    <row r="356">
      <c r="C356" s="21"/>
      <c r="D356" s="21"/>
    </row>
    <row r="357">
      <c r="C357" s="21"/>
      <c r="D357" s="21"/>
    </row>
    <row r="358">
      <c r="C358" s="21"/>
      <c r="D358" s="21"/>
    </row>
    <row r="359">
      <c r="C359" s="21"/>
      <c r="D359" s="21"/>
    </row>
    <row r="360">
      <c r="C360" s="21"/>
      <c r="D360" s="21"/>
    </row>
    <row r="361">
      <c r="C361" s="21"/>
      <c r="D361" s="21"/>
    </row>
    <row r="362">
      <c r="C362" s="21"/>
      <c r="D362" s="21"/>
    </row>
    <row r="363">
      <c r="C363" s="21"/>
      <c r="D363" s="21"/>
    </row>
    <row r="364">
      <c r="C364" s="21"/>
      <c r="D364" s="21"/>
    </row>
    <row r="365">
      <c r="C365" s="21"/>
      <c r="D365" s="21"/>
    </row>
    <row r="366">
      <c r="C366" s="21"/>
      <c r="D366" s="21"/>
    </row>
    <row r="367">
      <c r="C367" s="21"/>
      <c r="D367" s="21"/>
    </row>
    <row r="368">
      <c r="C368" s="21"/>
      <c r="D368" s="21"/>
    </row>
    <row r="369">
      <c r="C369" s="21"/>
      <c r="D369" s="21"/>
    </row>
    <row r="370">
      <c r="C370" s="21"/>
      <c r="D370" s="21"/>
    </row>
    <row r="371">
      <c r="C371" s="21"/>
      <c r="D371" s="21"/>
    </row>
    <row r="372">
      <c r="C372" s="21"/>
      <c r="D372" s="21"/>
    </row>
    <row r="373">
      <c r="C373" s="21"/>
      <c r="D373" s="21"/>
    </row>
    <row r="374">
      <c r="C374" s="21"/>
      <c r="D374" s="21"/>
    </row>
    <row r="375">
      <c r="C375" s="21"/>
      <c r="D375" s="21"/>
    </row>
    <row r="376">
      <c r="C376" s="21"/>
      <c r="D376" s="21"/>
    </row>
    <row r="377">
      <c r="C377" s="21"/>
      <c r="D377" s="21"/>
    </row>
    <row r="378">
      <c r="C378" s="21"/>
      <c r="D378" s="21"/>
    </row>
    <row r="379">
      <c r="C379" s="21"/>
      <c r="D379" s="21"/>
    </row>
    <row r="380">
      <c r="C380" s="21"/>
      <c r="D380" s="21"/>
    </row>
    <row r="381">
      <c r="C381" s="21"/>
      <c r="D381" s="21"/>
    </row>
    <row r="382">
      <c r="C382" s="21"/>
      <c r="D382" s="21"/>
    </row>
    <row r="383">
      <c r="C383" s="21"/>
      <c r="D383" s="21"/>
    </row>
    <row r="384">
      <c r="C384" s="21"/>
      <c r="D384" s="21"/>
    </row>
    <row r="385">
      <c r="C385" s="21"/>
      <c r="D385" s="21"/>
    </row>
    <row r="386">
      <c r="C386" s="21"/>
      <c r="D386" s="21"/>
    </row>
    <row r="387">
      <c r="C387" s="21"/>
      <c r="D387" s="21"/>
    </row>
    <row r="388">
      <c r="C388" s="21"/>
      <c r="D388" s="21"/>
    </row>
    <row r="389">
      <c r="C389" s="21"/>
      <c r="D389" s="21"/>
    </row>
    <row r="390">
      <c r="C390" s="21"/>
      <c r="D390" s="21"/>
    </row>
    <row r="391">
      <c r="C391" s="21"/>
      <c r="D391" s="21"/>
    </row>
    <row r="392">
      <c r="C392" s="21"/>
      <c r="D392" s="21"/>
    </row>
    <row r="393">
      <c r="C393" s="21"/>
      <c r="D393" s="21"/>
    </row>
    <row r="394">
      <c r="C394" s="21"/>
      <c r="D394" s="21"/>
    </row>
    <row r="395">
      <c r="C395" s="21"/>
      <c r="D395" s="21"/>
    </row>
    <row r="396">
      <c r="C396" s="21"/>
      <c r="D396" s="21"/>
    </row>
    <row r="397">
      <c r="C397" s="21"/>
      <c r="D397" s="21"/>
    </row>
    <row r="398">
      <c r="C398" s="21"/>
      <c r="D398" s="21"/>
    </row>
    <row r="399">
      <c r="C399" s="21"/>
      <c r="D399" s="21"/>
    </row>
    <row r="400">
      <c r="C400" s="21"/>
      <c r="D400" s="21"/>
    </row>
    <row r="401">
      <c r="C401" s="21"/>
      <c r="D401" s="21"/>
    </row>
    <row r="402">
      <c r="C402" s="21"/>
      <c r="D402" s="21"/>
    </row>
    <row r="403">
      <c r="C403" s="21"/>
      <c r="D403" s="21"/>
    </row>
    <row r="404">
      <c r="C404" s="21"/>
      <c r="D404" s="21"/>
    </row>
    <row r="405">
      <c r="C405" s="21"/>
      <c r="D405" s="21"/>
    </row>
    <row r="406">
      <c r="C406" s="21"/>
      <c r="D406" s="21"/>
    </row>
    <row r="407">
      <c r="C407" s="21"/>
      <c r="D407" s="21"/>
    </row>
    <row r="408">
      <c r="C408" s="21"/>
      <c r="D408" s="21"/>
    </row>
    <row r="409">
      <c r="C409" s="21"/>
      <c r="D409" s="21"/>
    </row>
    <row r="410">
      <c r="C410" s="21"/>
      <c r="D410" s="21"/>
    </row>
    <row r="411">
      <c r="C411" s="21"/>
      <c r="D411" s="21"/>
    </row>
    <row r="412">
      <c r="C412" s="21"/>
      <c r="D412" s="21"/>
    </row>
    <row r="413">
      <c r="C413" s="21"/>
      <c r="D413" s="21"/>
    </row>
    <row r="414">
      <c r="C414" s="21"/>
      <c r="D414" s="21"/>
    </row>
    <row r="415">
      <c r="C415" s="21"/>
      <c r="D415" s="21"/>
    </row>
    <row r="416">
      <c r="C416" s="21"/>
      <c r="D416" s="21"/>
    </row>
    <row r="417">
      <c r="C417" s="21"/>
      <c r="D417" s="21"/>
    </row>
    <row r="418">
      <c r="C418" s="21"/>
      <c r="D418" s="21"/>
    </row>
    <row r="419">
      <c r="C419" s="21"/>
      <c r="D419" s="21"/>
    </row>
    <row r="420">
      <c r="C420" s="21"/>
      <c r="D420" s="21"/>
    </row>
    <row r="421">
      <c r="C421" s="21"/>
      <c r="D421" s="21"/>
    </row>
    <row r="422">
      <c r="C422" s="21"/>
      <c r="D422" s="21"/>
    </row>
    <row r="423">
      <c r="C423" s="21"/>
      <c r="D423" s="21"/>
    </row>
    <row r="424">
      <c r="C424" s="21"/>
      <c r="D424" s="21"/>
    </row>
    <row r="425">
      <c r="C425" s="21"/>
      <c r="D425" s="21"/>
    </row>
    <row r="426">
      <c r="C426" s="21"/>
      <c r="D426" s="21"/>
    </row>
    <row r="427">
      <c r="C427" s="21"/>
      <c r="D427" s="21"/>
    </row>
    <row r="428">
      <c r="C428" s="21"/>
      <c r="D428" s="21"/>
    </row>
    <row r="429">
      <c r="C429" s="21"/>
      <c r="D429" s="21"/>
    </row>
    <row r="430">
      <c r="C430" s="21"/>
      <c r="D430" s="21"/>
    </row>
    <row r="431">
      <c r="C431" s="21"/>
      <c r="D431" s="21"/>
    </row>
    <row r="432">
      <c r="C432" s="21"/>
      <c r="D432" s="21"/>
    </row>
    <row r="433">
      <c r="C433" s="21"/>
      <c r="D433" s="21"/>
    </row>
    <row r="434">
      <c r="C434" s="21"/>
      <c r="D434" s="21"/>
    </row>
    <row r="435">
      <c r="C435" s="21"/>
      <c r="D435" s="21"/>
    </row>
    <row r="436">
      <c r="C436" s="21"/>
      <c r="D436" s="21"/>
    </row>
    <row r="437">
      <c r="C437" s="21"/>
      <c r="D437" s="21"/>
    </row>
    <row r="438">
      <c r="C438" s="21"/>
      <c r="D438" s="21"/>
    </row>
    <row r="439">
      <c r="C439" s="21"/>
      <c r="D439" s="21"/>
    </row>
    <row r="440">
      <c r="C440" s="21"/>
      <c r="D440" s="21"/>
    </row>
    <row r="441">
      <c r="C441" s="21"/>
      <c r="D441" s="21"/>
    </row>
    <row r="442">
      <c r="C442" s="21"/>
      <c r="D442" s="21"/>
    </row>
    <row r="443">
      <c r="C443" s="21"/>
      <c r="D443" s="21"/>
    </row>
    <row r="444">
      <c r="C444" s="21"/>
      <c r="D444" s="21"/>
    </row>
    <row r="445">
      <c r="C445" s="21"/>
      <c r="D445" s="21"/>
    </row>
    <row r="446">
      <c r="C446" s="21"/>
      <c r="D446" s="21"/>
    </row>
    <row r="447">
      <c r="C447" s="21"/>
      <c r="D447" s="21"/>
    </row>
    <row r="448">
      <c r="C448" s="21"/>
      <c r="D448" s="21"/>
    </row>
    <row r="449">
      <c r="C449" s="21"/>
      <c r="D449" s="21"/>
    </row>
    <row r="450">
      <c r="C450" s="21"/>
      <c r="D450" s="21"/>
    </row>
    <row r="451">
      <c r="C451" s="21"/>
      <c r="D451" s="21"/>
    </row>
    <row r="452">
      <c r="C452" s="21"/>
      <c r="D452" s="21"/>
    </row>
    <row r="453">
      <c r="C453" s="21"/>
      <c r="D453" s="21"/>
    </row>
    <row r="454">
      <c r="C454" s="21"/>
      <c r="D454" s="21"/>
    </row>
    <row r="455">
      <c r="C455" s="21"/>
      <c r="D455" s="21"/>
    </row>
    <row r="456">
      <c r="C456" s="21"/>
      <c r="D456" s="21"/>
    </row>
    <row r="457">
      <c r="C457" s="21"/>
      <c r="D457" s="21"/>
    </row>
    <row r="458">
      <c r="C458" s="21"/>
      <c r="D458" s="21"/>
    </row>
    <row r="459">
      <c r="C459" s="21"/>
      <c r="D459" s="21"/>
    </row>
    <row r="460">
      <c r="C460" s="21"/>
      <c r="D460" s="21"/>
    </row>
    <row r="461">
      <c r="C461" s="21"/>
      <c r="D461" s="21"/>
    </row>
    <row r="462">
      <c r="C462" s="21"/>
      <c r="D462" s="21"/>
    </row>
    <row r="463">
      <c r="C463" s="21"/>
      <c r="D463" s="21"/>
    </row>
    <row r="464">
      <c r="C464" s="21"/>
      <c r="D464" s="21"/>
    </row>
    <row r="465">
      <c r="C465" s="21"/>
      <c r="D465" s="21"/>
    </row>
    <row r="466">
      <c r="C466" s="21"/>
      <c r="D466" s="21"/>
    </row>
    <row r="467">
      <c r="C467" s="21"/>
      <c r="D467" s="21"/>
    </row>
    <row r="468">
      <c r="C468" s="21"/>
      <c r="D468" s="21"/>
    </row>
    <row r="469">
      <c r="C469" s="21"/>
      <c r="D469" s="21"/>
    </row>
    <row r="470">
      <c r="C470" s="21"/>
      <c r="D470" s="21"/>
    </row>
    <row r="471">
      <c r="C471" s="21"/>
      <c r="D471" s="21"/>
    </row>
    <row r="472">
      <c r="C472" s="21"/>
      <c r="D472" s="21"/>
    </row>
    <row r="473">
      <c r="C473" s="21"/>
      <c r="D473" s="21"/>
    </row>
    <row r="474">
      <c r="C474" s="21"/>
      <c r="D474" s="21"/>
    </row>
    <row r="475">
      <c r="C475" s="21"/>
      <c r="D475" s="21"/>
    </row>
    <row r="476">
      <c r="C476" s="21"/>
      <c r="D476" s="21"/>
    </row>
    <row r="477">
      <c r="C477" s="21"/>
      <c r="D477" s="21"/>
    </row>
    <row r="478">
      <c r="C478" s="21"/>
      <c r="D478" s="21"/>
    </row>
    <row r="479">
      <c r="C479" s="21"/>
      <c r="D479" s="21"/>
    </row>
    <row r="480">
      <c r="C480" s="21"/>
      <c r="D480" s="21"/>
    </row>
    <row r="481">
      <c r="C481" s="21"/>
      <c r="D481" s="21"/>
    </row>
    <row r="482">
      <c r="C482" s="21"/>
      <c r="D482" s="21"/>
    </row>
    <row r="483">
      <c r="C483" s="21"/>
      <c r="D483" s="21"/>
    </row>
    <row r="484">
      <c r="C484" s="21"/>
      <c r="D484" s="21"/>
    </row>
    <row r="485">
      <c r="C485" s="21"/>
      <c r="D485" s="21"/>
    </row>
    <row r="486">
      <c r="C486" s="21"/>
      <c r="D486" s="21"/>
    </row>
    <row r="487">
      <c r="C487" s="21"/>
      <c r="D487" s="21"/>
    </row>
    <row r="488">
      <c r="C488" s="21"/>
      <c r="D488" s="21"/>
    </row>
    <row r="489">
      <c r="C489" s="21"/>
      <c r="D489" s="21"/>
    </row>
    <row r="490">
      <c r="C490" s="21"/>
      <c r="D490" s="21"/>
    </row>
    <row r="491">
      <c r="C491" s="21"/>
      <c r="D491" s="21"/>
    </row>
    <row r="492">
      <c r="C492" s="21"/>
      <c r="D492" s="21"/>
    </row>
    <row r="493">
      <c r="C493" s="21"/>
      <c r="D493" s="21"/>
    </row>
    <row r="494">
      <c r="C494" s="21"/>
      <c r="D494" s="21"/>
    </row>
    <row r="495">
      <c r="C495" s="21"/>
      <c r="D495" s="21"/>
    </row>
    <row r="496">
      <c r="C496" s="21"/>
      <c r="D496" s="21"/>
    </row>
    <row r="497">
      <c r="C497" s="21"/>
      <c r="D497" s="21"/>
    </row>
    <row r="498">
      <c r="C498" s="21"/>
      <c r="D498" s="21"/>
    </row>
    <row r="499">
      <c r="C499" s="21"/>
      <c r="D499" s="21"/>
    </row>
    <row r="500">
      <c r="C500" s="21"/>
      <c r="D500" s="21"/>
    </row>
    <row r="501">
      <c r="C501" s="21"/>
      <c r="D501" s="21"/>
    </row>
    <row r="502">
      <c r="C502" s="21"/>
      <c r="D502" s="21"/>
    </row>
    <row r="503">
      <c r="C503" s="21"/>
      <c r="D503" s="21"/>
    </row>
    <row r="504">
      <c r="C504" s="21"/>
      <c r="D504" s="21"/>
    </row>
    <row r="505">
      <c r="C505" s="21"/>
      <c r="D505" s="21"/>
    </row>
    <row r="506">
      <c r="C506" s="21"/>
      <c r="D506" s="21"/>
    </row>
    <row r="507">
      <c r="C507" s="21"/>
      <c r="D507" s="21"/>
    </row>
    <row r="508">
      <c r="C508" s="21"/>
      <c r="D508" s="21"/>
    </row>
    <row r="509">
      <c r="C509" s="21"/>
      <c r="D509" s="21"/>
    </row>
    <row r="510">
      <c r="C510" s="21"/>
      <c r="D510" s="21"/>
    </row>
    <row r="511">
      <c r="C511" s="21"/>
      <c r="D511" s="21"/>
    </row>
    <row r="512">
      <c r="C512" s="21"/>
      <c r="D512" s="21"/>
    </row>
    <row r="513">
      <c r="C513" s="21"/>
      <c r="D513" s="21"/>
    </row>
    <row r="514">
      <c r="C514" s="21"/>
      <c r="D514" s="21"/>
    </row>
    <row r="515">
      <c r="C515" s="21"/>
      <c r="D515" s="21"/>
    </row>
    <row r="516">
      <c r="C516" s="21"/>
      <c r="D516" s="21"/>
    </row>
    <row r="517">
      <c r="C517" s="21"/>
      <c r="D517" s="21"/>
    </row>
    <row r="518">
      <c r="C518" s="21"/>
      <c r="D518" s="21"/>
    </row>
    <row r="519">
      <c r="C519" s="21"/>
      <c r="D519" s="21"/>
    </row>
    <row r="520">
      <c r="C520" s="21"/>
      <c r="D520" s="21"/>
    </row>
    <row r="521">
      <c r="C521" s="21"/>
      <c r="D521" s="21"/>
    </row>
    <row r="522">
      <c r="C522" s="21"/>
      <c r="D522" s="21"/>
    </row>
    <row r="523">
      <c r="C523" s="21"/>
      <c r="D523" s="21"/>
    </row>
    <row r="524">
      <c r="C524" s="21"/>
      <c r="D524" s="21"/>
    </row>
    <row r="525">
      <c r="C525" s="21"/>
      <c r="D525" s="21"/>
    </row>
    <row r="526">
      <c r="C526" s="21"/>
      <c r="D526" s="21"/>
    </row>
    <row r="527">
      <c r="C527" s="21"/>
      <c r="D527" s="21"/>
    </row>
    <row r="528">
      <c r="C528" s="21"/>
      <c r="D528" s="21"/>
    </row>
    <row r="529">
      <c r="C529" s="21"/>
      <c r="D529" s="21"/>
    </row>
    <row r="530">
      <c r="C530" s="21"/>
      <c r="D530" s="21"/>
    </row>
    <row r="531">
      <c r="C531" s="21"/>
      <c r="D531" s="21"/>
    </row>
    <row r="532">
      <c r="C532" s="21"/>
      <c r="D532" s="21"/>
    </row>
    <row r="533">
      <c r="C533" s="21"/>
      <c r="D533" s="21"/>
    </row>
    <row r="534">
      <c r="C534" s="21"/>
      <c r="D534" s="21"/>
    </row>
    <row r="535">
      <c r="C535" s="21"/>
      <c r="D535" s="21"/>
    </row>
    <row r="536">
      <c r="C536" s="21"/>
      <c r="D536" s="21"/>
    </row>
    <row r="537">
      <c r="C537" s="21"/>
      <c r="D537" s="21"/>
    </row>
    <row r="538">
      <c r="C538" s="21"/>
      <c r="D538" s="21"/>
    </row>
    <row r="539">
      <c r="C539" s="21"/>
      <c r="D539" s="21"/>
    </row>
    <row r="540">
      <c r="C540" s="21"/>
      <c r="D540" s="21"/>
    </row>
    <row r="541">
      <c r="C541" s="21"/>
      <c r="D541" s="21"/>
    </row>
    <row r="542">
      <c r="C542" s="21"/>
      <c r="D542" s="21"/>
    </row>
    <row r="543">
      <c r="C543" s="21"/>
      <c r="D543" s="21"/>
    </row>
    <row r="544">
      <c r="C544" s="21"/>
      <c r="D544" s="21"/>
    </row>
    <row r="545">
      <c r="C545" s="21"/>
      <c r="D545" s="21"/>
    </row>
    <row r="546">
      <c r="C546" s="21"/>
      <c r="D546" s="21"/>
    </row>
    <row r="547">
      <c r="C547" s="21"/>
      <c r="D547" s="21"/>
    </row>
    <row r="548">
      <c r="C548" s="21"/>
      <c r="D548" s="21"/>
    </row>
    <row r="549">
      <c r="C549" s="21"/>
      <c r="D549" s="21"/>
    </row>
    <row r="550">
      <c r="C550" s="21"/>
      <c r="D550" s="21"/>
    </row>
    <row r="551">
      <c r="C551" s="21"/>
      <c r="D551" s="21"/>
    </row>
    <row r="552">
      <c r="C552" s="21"/>
      <c r="D552" s="21"/>
    </row>
    <row r="553">
      <c r="C553" s="21"/>
      <c r="D553" s="21"/>
    </row>
    <row r="554">
      <c r="C554" s="21"/>
      <c r="D554" s="21"/>
    </row>
    <row r="555">
      <c r="C555" s="21"/>
      <c r="D555" s="21"/>
    </row>
    <row r="556">
      <c r="C556" s="21"/>
      <c r="D556" s="21"/>
    </row>
    <row r="557">
      <c r="C557" s="21"/>
      <c r="D557" s="21"/>
    </row>
    <row r="558">
      <c r="C558" s="21"/>
      <c r="D558" s="21"/>
    </row>
    <row r="559">
      <c r="C559" s="21"/>
      <c r="D559" s="21"/>
    </row>
    <row r="560">
      <c r="C560" s="21"/>
      <c r="D560" s="21"/>
    </row>
    <row r="561">
      <c r="C561" s="21"/>
      <c r="D561" s="21"/>
    </row>
    <row r="562">
      <c r="C562" s="21"/>
      <c r="D562" s="21"/>
    </row>
    <row r="563">
      <c r="C563" s="21"/>
      <c r="D563" s="21"/>
    </row>
    <row r="564">
      <c r="C564" s="21"/>
      <c r="D564" s="21"/>
    </row>
    <row r="565">
      <c r="C565" s="21"/>
      <c r="D565" s="21"/>
    </row>
    <row r="566">
      <c r="C566" s="21"/>
      <c r="D566" s="21"/>
    </row>
    <row r="567">
      <c r="C567" s="21"/>
      <c r="D567" s="21"/>
    </row>
    <row r="568">
      <c r="C568" s="21"/>
      <c r="D568" s="21"/>
    </row>
    <row r="569">
      <c r="C569" s="21"/>
      <c r="D569" s="21"/>
    </row>
    <row r="570">
      <c r="C570" s="21"/>
      <c r="D570" s="21"/>
    </row>
    <row r="571">
      <c r="C571" s="21"/>
      <c r="D571" s="21"/>
    </row>
    <row r="572">
      <c r="C572" s="21"/>
      <c r="D572" s="21"/>
    </row>
    <row r="573">
      <c r="C573" s="21"/>
      <c r="D573" s="21"/>
    </row>
    <row r="574">
      <c r="C574" s="21"/>
      <c r="D574" s="21"/>
    </row>
    <row r="575">
      <c r="C575" s="21"/>
      <c r="D575" s="21"/>
    </row>
    <row r="576">
      <c r="C576" s="21"/>
      <c r="D576" s="21"/>
    </row>
    <row r="577">
      <c r="C577" s="21"/>
      <c r="D577" s="21"/>
    </row>
    <row r="578">
      <c r="C578" s="21"/>
      <c r="D578" s="21"/>
    </row>
    <row r="579">
      <c r="C579" s="21"/>
      <c r="D579" s="21"/>
    </row>
    <row r="580">
      <c r="C580" s="21"/>
      <c r="D580" s="21"/>
    </row>
    <row r="581">
      <c r="C581" s="21"/>
      <c r="D581" s="21"/>
    </row>
    <row r="582">
      <c r="C582" s="21"/>
      <c r="D582" s="21"/>
    </row>
    <row r="583">
      <c r="C583" s="21"/>
      <c r="D583" s="21"/>
    </row>
    <row r="584">
      <c r="C584" s="21"/>
      <c r="D584" s="21"/>
    </row>
    <row r="585">
      <c r="C585" s="21"/>
      <c r="D585" s="21"/>
    </row>
    <row r="586">
      <c r="C586" s="21"/>
      <c r="D586" s="21"/>
    </row>
    <row r="587">
      <c r="C587" s="21"/>
      <c r="D587" s="21"/>
    </row>
    <row r="588">
      <c r="C588" s="21"/>
      <c r="D588" s="21"/>
    </row>
    <row r="589">
      <c r="C589" s="21"/>
      <c r="D589" s="21"/>
    </row>
    <row r="590">
      <c r="C590" s="21"/>
      <c r="D590" s="21"/>
    </row>
    <row r="591">
      <c r="C591" s="21"/>
      <c r="D591" s="21"/>
    </row>
    <row r="592">
      <c r="C592" s="21"/>
      <c r="D592" s="21"/>
    </row>
    <row r="593">
      <c r="C593" s="21"/>
      <c r="D593" s="21"/>
    </row>
    <row r="594">
      <c r="C594" s="21"/>
      <c r="D594" s="21"/>
    </row>
    <row r="595">
      <c r="C595" s="21"/>
      <c r="D595" s="21"/>
    </row>
    <row r="596">
      <c r="C596" s="21"/>
      <c r="D596" s="21"/>
    </row>
    <row r="597">
      <c r="C597" s="21"/>
      <c r="D597" s="21"/>
    </row>
    <row r="598">
      <c r="C598" s="21"/>
      <c r="D598" s="21"/>
    </row>
    <row r="599">
      <c r="C599" s="21"/>
      <c r="D599" s="21"/>
    </row>
    <row r="600">
      <c r="C600" s="21"/>
      <c r="D600" s="21"/>
    </row>
    <row r="601">
      <c r="C601" s="21"/>
      <c r="D601" s="21"/>
    </row>
    <row r="602">
      <c r="C602" s="21"/>
      <c r="D602" s="21"/>
    </row>
    <row r="603">
      <c r="C603" s="21"/>
      <c r="D603" s="21"/>
    </row>
    <row r="604">
      <c r="C604" s="21"/>
      <c r="D604" s="21"/>
    </row>
    <row r="605">
      <c r="C605" s="21"/>
      <c r="D605" s="21"/>
    </row>
    <row r="606">
      <c r="C606" s="21"/>
      <c r="D606" s="21"/>
    </row>
    <row r="607">
      <c r="C607" s="21"/>
      <c r="D607" s="21"/>
    </row>
    <row r="608">
      <c r="C608" s="21"/>
      <c r="D608" s="21"/>
    </row>
    <row r="609">
      <c r="C609" s="21"/>
      <c r="D609" s="21"/>
    </row>
    <row r="610">
      <c r="C610" s="21"/>
      <c r="D610" s="21"/>
    </row>
    <row r="611">
      <c r="C611" s="21"/>
      <c r="D611" s="21"/>
    </row>
    <row r="612">
      <c r="C612" s="21"/>
      <c r="D612" s="21"/>
    </row>
    <row r="613">
      <c r="C613" s="21"/>
      <c r="D613" s="21"/>
    </row>
    <row r="614">
      <c r="C614" s="21"/>
      <c r="D614" s="21"/>
    </row>
    <row r="615">
      <c r="C615" s="21"/>
      <c r="D615" s="21"/>
    </row>
    <row r="616">
      <c r="C616" s="21"/>
      <c r="D616" s="21"/>
    </row>
    <row r="617">
      <c r="C617" s="21"/>
      <c r="D617" s="21"/>
    </row>
    <row r="618">
      <c r="C618" s="21"/>
      <c r="D618" s="21"/>
    </row>
    <row r="619">
      <c r="C619" s="21"/>
      <c r="D619" s="21"/>
    </row>
    <row r="620">
      <c r="C620" s="21"/>
      <c r="D620" s="21"/>
    </row>
    <row r="621">
      <c r="C621" s="21"/>
      <c r="D621" s="21"/>
    </row>
    <row r="622">
      <c r="C622" s="21"/>
      <c r="D622" s="21"/>
    </row>
    <row r="623">
      <c r="C623" s="21"/>
      <c r="D623" s="21"/>
    </row>
    <row r="624">
      <c r="C624" s="21"/>
      <c r="D624" s="21"/>
    </row>
    <row r="625">
      <c r="C625" s="21"/>
      <c r="D625" s="21"/>
    </row>
    <row r="626">
      <c r="C626" s="21"/>
      <c r="D626" s="21"/>
    </row>
    <row r="627">
      <c r="C627" s="21"/>
      <c r="D627" s="21"/>
    </row>
    <row r="628">
      <c r="C628" s="21"/>
      <c r="D628" s="21"/>
    </row>
    <row r="629">
      <c r="C629" s="21"/>
      <c r="D629" s="21"/>
    </row>
    <row r="630">
      <c r="C630" s="21"/>
      <c r="D630" s="21"/>
    </row>
    <row r="631">
      <c r="C631" s="21"/>
      <c r="D631" s="21"/>
    </row>
    <row r="632">
      <c r="C632" s="21"/>
      <c r="D632" s="21"/>
    </row>
    <row r="633">
      <c r="C633" s="21"/>
      <c r="D633" s="21"/>
    </row>
    <row r="634">
      <c r="C634" s="21"/>
      <c r="D634" s="21"/>
    </row>
    <row r="635">
      <c r="C635" s="21"/>
      <c r="D635" s="21"/>
    </row>
    <row r="636">
      <c r="C636" s="21"/>
      <c r="D636" s="21"/>
    </row>
    <row r="637">
      <c r="C637" s="21"/>
      <c r="D637" s="21"/>
    </row>
    <row r="638">
      <c r="C638" s="21"/>
      <c r="D638" s="21"/>
    </row>
    <row r="639">
      <c r="C639" s="21"/>
      <c r="D639" s="21"/>
    </row>
    <row r="640">
      <c r="C640" s="21"/>
      <c r="D640" s="21"/>
    </row>
    <row r="641">
      <c r="C641" s="21"/>
      <c r="D641" s="21"/>
    </row>
    <row r="642">
      <c r="C642" s="21"/>
      <c r="D642" s="21"/>
    </row>
    <row r="643">
      <c r="C643" s="21"/>
      <c r="D643" s="21"/>
    </row>
    <row r="644">
      <c r="C644" s="21"/>
      <c r="D644" s="21"/>
    </row>
    <row r="645">
      <c r="C645" s="21"/>
      <c r="D645" s="21"/>
    </row>
    <row r="646">
      <c r="C646" s="21"/>
      <c r="D646" s="21"/>
    </row>
    <row r="647">
      <c r="C647" s="21"/>
      <c r="D647" s="21"/>
    </row>
    <row r="648">
      <c r="C648" s="21"/>
      <c r="D648" s="21"/>
    </row>
    <row r="649">
      <c r="C649" s="21"/>
      <c r="D649" s="21"/>
    </row>
    <row r="650">
      <c r="C650" s="21"/>
      <c r="D650" s="21"/>
    </row>
    <row r="651">
      <c r="C651" s="21"/>
      <c r="D651" s="21"/>
    </row>
    <row r="652">
      <c r="C652" s="21"/>
      <c r="D652" s="21"/>
    </row>
    <row r="653">
      <c r="C653" s="21"/>
      <c r="D653" s="21"/>
    </row>
    <row r="654">
      <c r="C654" s="21"/>
      <c r="D654" s="21"/>
    </row>
    <row r="655">
      <c r="C655" s="21"/>
      <c r="D655" s="21"/>
    </row>
    <row r="656">
      <c r="C656" s="21"/>
      <c r="D656" s="21"/>
    </row>
    <row r="657">
      <c r="C657" s="21"/>
      <c r="D657" s="21"/>
    </row>
    <row r="658">
      <c r="C658" s="21"/>
      <c r="D658" s="21"/>
    </row>
    <row r="659">
      <c r="C659" s="21"/>
      <c r="D659" s="21"/>
    </row>
    <row r="660">
      <c r="C660" s="21"/>
      <c r="D660" s="21"/>
    </row>
    <row r="661">
      <c r="C661" s="21"/>
      <c r="D661" s="21"/>
    </row>
    <row r="662">
      <c r="C662" s="21"/>
      <c r="D662" s="21"/>
    </row>
    <row r="663">
      <c r="C663" s="21"/>
      <c r="D663" s="21"/>
    </row>
    <row r="664">
      <c r="C664" s="21"/>
      <c r="D664" s="21"/>
    </row>
    <row r="665">
      <c r="C665" s="21"/>
      <c r="D665" s="21"/>
    </row>
    <row r="666">
      <c r="C666" s="21"/>
      <c r="D666" s="21"/>
    </row>
    <row r="667">
      <c r="C667" s="21"/>
      <c r="D667" s="21"/>
    </row>
    <row r="668">
      <c r="C668" s="21"/>
      <c r="D668" s="21"/>
    </row>
    <row r="669">
      <c r="C669" s="21"/>
      <c r="D669" s="21"/>
    </row>
    <row r="670">
      <c r="C670" s="21"/>
      <c r="D670" s="21"/>
    </row>
    <row r="671">
      <c r="C671" s="21"/>
      <c r="D671" s="21"/>
    </row>
    <row r="672">
      <c r="C672" s="21"/>
      <c r="D672" s="21"/>
    </row>
    <row r="673">
      <c r="C673" s="21"/>
      <c r="D673" s="21"/>
    </row>
    <row r="674">
      <c r="C674" s="21"/>
      <c r="D674" s="21"/>
    </row>
    <row r="675">
      <c r="C675" s="21"/>
      <c r="D675" s="21"/>
    </row>
    <row r="676">
      <c r="C676" s="21"/>
      <c r="D676" s="21"/>
    </row>
    <row r="677">
      <c r="C677" s="21"/>
      <c r="D677" s="21"/>
    </row>
    <row r="678">
      <c r="C678" s="21"/>
      <c r="D678" s="21"/>
    </row>
    <row r="679">
      <c r="C679" s="21"/>
      <c r="D679" s="21"/>
    </row>
    <row r="680">
      <c r="C680" s="21"/>
      <c r="D680" s="21"/>
    </row>
    <row r="681">
      <c r="C681" s="21"/>
      <c r="D681" s="21"/>
    </row>
    <row r="682">
      <c r="C682" s="21"/>
      <c r="D682" s="21"/>
    </row>
    <row r="683">
      <c r="C683" s="21"/>
      <c r="D683" s="21"/>
    </row>
    <row r="684">
      <c r="C684" s="21"/>
      <c r="D684" s="21"/>
    </row>
    <row r="685">
      <c r="C685" s="21"/>
      <c r="D685" s="21"/>
    </row>
    <row r="686">
      <c r="C686" s="21"/>
      <c r="D686" s="21"/>
    </row>
    <row r="687">
      <c r="C687" s="21"/>
      <c r="D687" s="21"/>
    </row>
    <row r="688">
      <c r="C688" s="21"/>
      <c r="D688" s="21"/>
    </row>
    <row r="689">
      <c r="C689" s="21"/>
      <c r="D689" s="21"/>
    </row>
    <row r="690">
      <c r="C690" s="21"/>
      <c r="D690" s="21"/>
    </row>
    <row r="691">
      <c r="C691" s="21"/>
      <c r="D691" s="21"/>
    </row>
    <row r="692">
      <c r="C692" s="21"/>
      <c r="D692" s="21"/>
    </row>
    <row r="693">
      <c r="C693" s="21"/>
      <c r="D693" s="21"/>
    </row>
    <row r="694">
      <c r="C694" s="21"/>
      <c r="D694" s="21"/>
    </row>
    <row r="695">
      <c r="C695" s="21"/>
      <c r="D695" s="21"/>
    </row>
    <row r="696">
      <c r="C696" s="21"/>
      <c r="D696" s="21"/>
    </row>
    <row r="697">
      <c r="C697" s="21"/>
      <c r="D697" s="21"/>
    </row>
    <row r="698">
      <c r="C698" s="21"/>
      <c r="D698" s="21"/>
    </row>
    <row r="699">
      <c r="C699" s="21"/>
      <c r="D699" s="21"/>
    </row>
    <row r="700">
      <c r="C700" s="21"/>
      <c r="D700" s="21"/>
    </row>
    <row r="701">
      <c r="C701" s="21"/>
      <c r="D701" s="21"/>
    </row>
    <row r="702">
      <c r="C702" s="21"/>
      <c r="D702" s="21"/>
    </row>
    <row r="703">
      <c r="C703" s="21"/>
      <c r="D703" s="21"/>
    </row>
    <row r="704">
      <c r="C704" s="21"/>
      <c r="D704" s="21"/>
    </row>
    <row r="705">
      <c r="C705" s="21"/>
      <c r="D705" s="21"/>
    </row>
    <row r="706">
      <c r="C706" s="21"/>
      <c r="D706" s="21"/>
    </row>
    <row r="707">
      <c r="C707" s="21"/>
      <c r="D707" s="21"/>
    </row>
    <row r="708">
      <c r="C708" s="21"/>
      <c r="D708" s="21"/>
    </row>
    <row r="709">
      <c r="C709" s="21"/>
      <c r="D709" s="21"/>
    </row>
    <row r="710">
      <c r="C710" s="21"/>
      <c r="D710" s="21"/>
    </row>
    <row r="711">
      <c r="C711" s="21"/>
      <c r="D711" s="21"/>
    </row>
    <row r="712">
      <c r="C712" s="21"/>
      <c r="D712" s="21"/>
    </row>
    <row r="713">
      <c r="C713" s="21"/>
      <c r="D713" s="21"/>
    </row>
    <row r="714">
      <c r="C714" s="21"/>
      <c r="D714" s="21"/>
    </row>
    <row r="715">
      <c r="C715" s="21"/>
      <c r="D715" s="21"/>
    </row>
    <row r="716">
      <c r="C716" s="21"/>
      <c r="D716" s="21"/>
    </row>
    <row r="717">
      <c r="C717" s="21"/>
      <c r="D717" s="21"/>
    </row>
    <row r="718">
      <c r="C718" s="21"/>
      <c r="D718" s="21"/>
    </row>
    <row r="719">
      <c r="C719" s="21"/>
      <c r="D719" s="21"/>
    </row>
    <row r="720">
      <c r="C720" s="21"/>
      <c r="D720" s="21"/>
    </row>
    <row r="721">
      <c r="C721" s="21"/>
      <c r="D721" s="21"/>
    </row>
    <row r="722">
      <c r="C722" s="21"/>
      <c r="D722" s="21"/>
    </row>
    <row r="723">
      <c r="C723" s="21"/>
      <c r="D723" s="21"/>
    </row>
    <row r="724">
      <c r="C724" s="21"/>
      <c r="D724" s="21"/>
    </row>
    <row r="725">
      <c r="C725" s="21"/>
      <c r="D725" s="21"/>
    </row>
    <row r="726">
      <c r="C726" s="21"/>
      <c r="D726" s="21"/>
    </row>
    <row r="727">
      <c r="C727" s="21"/>
      <c r="D727" s="21"/>
    </row>
    <row r="728">
      <c r="C728" s="21"/>
      <c r="D728" s="21"/>
    </row>
    <row r="729">
      <c r="C729" s="21"/>
      <c r="D729" s="21"/>
    </row>
    <row r="730">
      <c r="C730" s="21"/>
      <c r="D730" s="21"/>
    </row>
    <row r="731">
      <c r="C731" s="21"/>
      <c r="D731" s="21"/>
    </row>
    <row r="732">
      <c r="C732" s="21"/>
      <c r="D732" s="21"/>
    </row>
    <row r="733">
      <c r="C733" s="21"/>
      <c r="D733" s="21"/>
    </row>
    <row r="734">
      <c r="C734" s="21"/>
      <c r="D734" s="21"/>
    </row>
    <row r="735">
      <c r="C735" s="21"/>
      <c r="D735" s="21"/>
    </row>
    <row r="736">
      <c r="C736" s="21"/>
      <c r="D736" s="21"/>
    </row>
    <row r="737">
      <c r="C737" s="21"/>
      <c r="D737" s="21"/>
    </row>
    <row r="738">
      <c r="C738" s="21"/>
      <c r="D738" s="21"/>
    </row>
    <row r="739">
      <c r="C739" s="21"/>
      <c r="D739" s="21"/>
    </row>
    <row r="740">
      <c r="C740" s="21"/>
      <c r="D740" s="21"/>
    </row>
    <row r="741">
      <c r="C741" s="21"/>
      <c r="D741" s="21"/>
    </row>
    <row r="742">
      <c r="C742" s="21"/>
      <c r="D742" s="21"/>
    </row>
    <row r="743">
      <c r="C743" s="21"/>
      <c r="D743" s="21"/>
    </row>
    <row r="744">
      <c r="C744" s="21"/>
      <c r="D744" s="21"/>
    </row>
    <row r="745">
      <c r="C745" s="21"/>
      <c r="D745" s="21"/>
    </row>
    <row r="746">
      <c r="C746" s="21"/>
      <c r="D746" s="21"/>
    </row>
    <row r="747">
      <c r="C747" s="21"/>
      <c r="D747" s="21"/>
    </row>
    <row r="748">
      <c r="C748" s="21"/>
      <c r="D748" s="21"/>
    </row>
    <row r="749">
      <c r="C749" s="21"/>
      <c r="D749" s="21"/>
    </row>
    <row r="750">
      <c r="C750" s="21"/>
      <c r="D750" s="21"/>
    </row>
    <row r="751">
      <c r="C751" s="21"/>
      <c r="D751" s="21"/>
    </row>
    <row r="752">
      <c r="C752" s="21"/>
      <c r="D752" s="21"/>
    </row>
    <row r="753">
      <c r="C753" s="21"/>
      <c r="D753" s="21"/>
    </row>
    <row r="754">
      <c r="C754" s="21"/>
      <c r="D754" s="21"/>
    </row>
    <row r="755">
      <c r="C755" s="21"/>
      <c r="D755" s="21"/>
    </row>
    <row r="756">
      <c r="C756" s="21"/>
      <c r="D756" s="21"/>
    </row>
    <row r="757">
      <c r="C757" s="21"/>
      <c r="D757" s="21"/>
    </row>
    <row r="758">
      <c r="C758" s="21"/>
      <c r="D758" s="21"/>
    </row>
    <row r="759">
      <c r="C759" s="21"/>
      <c r="D759" s="21"/>
    </row>
    <row r="760">
      <c r="C760" s="21"/>
      <c r="D760" s="21"/>
    </row>
    <row r="761">
      <c r="C761" s="21"/>
      <c r="D761" s="21"/>
    </row>
    <row r="762">
      <c r="C762" s="21"/>
      <c r="D762" s="21"/>
    </row>
    <row r="763">
      <c r="C763" s="21"/>
      <c r="D763" s="21"/>
    </row>
    <row r="764">
      <c r="C764" s="21"/>
      <c r="D764" s="21"/>
    </row>
    <row r="765">
      <c r="C765" s="21"/>
      <c r="D765" s="21"/>
    </row>
    <row r="766">
      <c r="C766" s="21"/>
      <c r="D766" s="21"/>
    </row>
    <row r="767">
      <c r="C767" s="21"/>
      <c r="D767" s="21"/>
    </row>
    <row r="768">
      <c r="C768" s="21"/>
      <c r="D768" s="21"/>
    </row>
    <row r="769">
      <c r="C769" s="21"/>
      <c r="D769" s="21"/>
    </row>
    <row r="770">
      <c r="C770" s="21"/>
      <c r="D770" s="21"/>
    </row>
    <row r="771">
      <c r="C771" s="21"/>
      <c r="D771" s="21"/>
    </row>
    <row r="772">
      <c r="C772" s="21"/>
      <c r="D772" s="21"/>
    </row>
    <row r="773">
      <c r="C773" s="21"/>
      <c r="D773" s="21"/>
    </row>
    <row r="774">
      <c r="C774" s="21"/>
      <c r="D774" s="21"/>
    </row>
    <row r="775">
      <c r="C775" s="21"/>
      <c r="D775" s="21"/>
    </row>
    <row r="776">
      <c r="C776" s="21"/>
      <c r="D776" s="21"/>
    </row>
    <row r="777">
      <c r="C777" s="21"/>
      <c r="D777" s="21"/>
    </row>
    <row r="778">
      <c r="C778" s="21"/>
      <c r="D778" s="21"/>
    </row>
    <row r="779">
      <c r="C779" s="21"/>
      <c r="D779" s="21"/>
    </row>
    <row r="780">
      <c r="C780" s="21"/>
      <c r="D780" s="21"/>
    </row>
    <row r="781">
      <c r="C781" s="21"/>
      <c r="D781" s="21"/>
    </row>
    <row r="782">
      <c r="C782" s="21"/>
      <c r="D782" s="21"/>
    </row>
    <row r="783">
      <c r="C783" s="21"/>
      <c r="D783" s="21"/>
    </row>
    <row r="784">
      <c r="C784" s="21"/>
      <c r="D784" s="21"/>
    </row>
    <row r="785">
      <c r="C785" s="21"/>
      <c r="D785" s="21"/>
    </row>
    <row r="786">
      <c r="C786" s="21"/>
      <c r="D786" s="21"/>
    </row>
    <row r="787">
      <c r="C787" s="21"/>
      <c r="D787" s="21"/>
    </row>
    <row r="788">
      <c r="C788" s="21"/>
      <c r="D788" s="21"/>
    </row>
    <row r="789">
      <c r="C789" s="21"/>
      <c r="D789" s="21"/>
    </row>
    <row r="790">
      <c r="C790" s="21"/>
      <c r="D790" s="21"/>
    </row>
    <row r="791">
      <c r="C791" s="21"/>
      <c r="D791" s="21"/>
    </row>
    <row r="792">
      <c r="C792" s="21"/>
      <c r="D792" s="21"/>
    </row>
    <row r="793">
      <c r="C793" s="21"/>
      <c r="D793" s="21"/>
    </row>
    <row r="794">
      <c r="C794" s="21"/>
      <c r="D794" s="21"/>
    </row>
    <row r="795">
      <c r="C795" s="21"/>
      <c r="D795" s="21"/>
    </row>
    <row r="796">
      <c r="C796" s="21"/>
      <c r="D796" s="21"/>
    </row>
    <row r="797">
      <c r="C797" s="21"/>
      <c r="D797" s="21"/>
    </row>
    <row r="798">
      <c r="C798" s="21"/>
      <c r="D798" s="21"/>
    </row>
    <row r="799">
      <c r="C799" s="21"/>
      <c r="D799" s="21"/>
    </row>
    <row r="800">
      <c r="C800" s="21"/>
      <c r="D800" s="21"/>
    </row>
    <row r="801">
      <c r="C801" s="21"/>
      <c r="D801" s="21"/>
    </row>
    <row r="802">
      <c r="C802" s="21"/>
      <c r="D802" s="21"/>
    </row>
    <row r="803">
      <c r="C803" s="21"/>
      <c r="D803" s="21"/>
    </row>
    <row r="804">
      <c r="C804" s="21"/>
      <c r="D804" s="21"/>
    </row>
    <row r="805">
      <c r="C805" s="21"/>
      <c r="D805" s="21"/>
    </row>
    <row r="806">
      <c r="C806" s="21"/>
      <c r="D806" s="21"/>
    </row>
    <row r="807">
      <c r="C807" s="21"/>
      <c r="D807" s="21"/>
    </row>
    <row r="808">
      <c r="C808" s="21"/>
      <c r="D808" s="21"/>
    </row>
    <row r="809">
      <c r="C809" s="21"/>
      <c r="D809" s="21"/>
    </row>
    <row r="810">
      <c r="C810" s="21"/>
      <c r="D810" s="21"/>
    </row>
    <row r="811">
      <c r="C811" s="21"/>
      <c r="D811" s="21"/>
    </row>
    <row r="812">
      <c r="C812" s="21"/>
      <c r="D812" s="21"/>
    </row>
    <row r="813">
      <c r="C813" s="21"/>
      <c r="D813" s="21"/>
    </row>
    <row r="814">
      <c r="C814" s="21"/>
      <c r="D814" s="21"/>
    </row>
    <row r="815">
      <c r="C815" s="21"/>
      <c r="D815" s="21"/>
    </row>
    <row r="816">
      <c r="C816" s="21"/>
      <c r="D816" s="21"/>
    </row>
    <row r="817">
      <c r="C817" s="21"/>
      <c r="D817" s="21"/>
    </row>
    <row r="818">
      <c r="C818" s="21"/>
      <c r="D818" s="21"/>
    </row>
    <row r="819">
      <c r="C819" s="21"/>
      <c r="D819" s="21"/>
    </row>
    <row r="820">
      <c r="C820" s="21"/>
      <c r="D820" s="21"/>
    </row>
    <row r="821">
      <c r="C821" s="21"/>
      <c r="D821" s="21"/>
    </row>
    <row r="822">
      <c r="C822" s="21"/>
      <c r="D822" s="21"/>
    </row>
    <row r="823">
      <c r="C823" s="21"/>
      <c r="D823" s="21"/>
    </row>
    <row r="824">
      <c r="C824" s="21"/>
      <c r="D824" s="21"/>
    </row>
    <row r="825">
      <c r="C825" s="21"/>
      <c r="D825" s="21"/>
    </row>
    <row r="826">
      <c r="C826" s="21"/>
      <c r="D826" s="21"/>
    </row>
    <row r="827">
      <c r="C827" s="21"/>
      <c r="D827" s="21"/>
    </row>
    <row r="828">
      <c r="C828" s="21"/>
      <c r="D828" s="21"/>
    </row>
    <row r="829">
      <c r="C829" s="21"/>
      <c r="D829" s="21"/>
    </row>
    <row r="830">
      <c r="C830" s="21"/>
      <c r="D830" s="21"/>
    </row>
    <row r="831">
      <c r="C831" s="21"/>
      <c r="D831" s="21"/>
    </row>
    <row r="832">
      <c r="C832" s="21"/>
      <c r="D832" s="21"/>
    </row>
    <row r="833">
      <c r="C833" s="21"/>
      <c r="D833" s="21"/>
    </row>
    <row r="834">
      <c r="C834" s="21"/>
      <c r="D834" s="21"/>
    </row>
    <row r="835">
      <c r="C835" s="21"/>
      <c r="D835" s="21"/>
    </row>
    <row r="836">
      <c r="C836" s="21"/>
      <c r="D836" s="21"/>
    </row>
    <row r="837">
      <c r="C837" s="21"/>
      <c r="D837" s="21"/>
    </row>
    <row r="838">
      <c r="C838" s="21"/>
      <c r="D838" s="21"/>
    </row>
    <row r="839">
      <c r="C839" s="21"/>
      <c r="D839" s="21"/>
    </row>
    <row r="840">
      <c r="C840" s="21"/>
      <c r="D840" s="21"/>
    </row>
    <row r="841">
      <c r="C841" s="21"/>
      <c r="D841" s="21"/>
    </row>
    <row r="842">
      <c r="C842" s="21"/>
      <c r="D842" s="21"/>
    </row>
    <row r="843">
      <c r="C843" s="21"/>
      <c r="D843" s="21"/>
    </row>
    <row r="844">
      <c r="C844" s="21"/>
      <c r="D844" s="21"/>
    </row>
    <row r="845">
      <c r="C845" s="21"/>
      <c r="D845" s="21"/>
    </row>
    <row r="846">
      <c r="C846" s="21"/>
      <c r="D846" s="21"/>
    </row>
    <row r="847">
      <c r="C847" s="21"/>
      <c r="D847" s="21"/>
    </row>
    <row r="848">
      <c r="C848" s="21"/>
      <c r="D848" s="21"/>
    </row>
    <row r="849">
      <c r="C849" s="21"/>
      <c r="D849" s="21"/>
    </row>
    <row r="850">
      <c r="C850" s="21"/>
      <c r="D850" s="21"/>
    </row>
    <row r="851">
      <c r="C851" s="21"/>
      <c r="D851" s="21"/>
    </row>
    <row r="852">
      <c r="C852" s="21"/>
      <c r="D852" s="21"/>
    </row>
    <row r="853">
      <c r="C853" s="21"/>
      <c r="D853" s="21"/>
    </row>
    <row r="854">
      <c r="C854" s="21"/>
      <c r="D854" s="21"/>
    </row>
    <row r="855">
      <c r="C855" s="21"/>
      <c r="D855" s="21"/>
    </row>
    <row r="856">
      <c r="C856" s="21"/>
      <c r="D856" s="21"/>
    </row>
    <row r="857">
      <c r="C857" s="21"/>
      <c r="D857" s="21"/>
    </row>
    <row r="858">
      <c r="C858" s="21"/>
      <c r="D858" s="21"/>
    </row>
    <row r="859">
      <c r="C859" s="21"/>
      <c r="D859" s="21"/>
    </row>
    <row r="860">
      <c r="C860" s="21"/>
      <c r="D860" s="21"/>
    </row>
    <row r="861">
      <c r="C861" s="21"/>
      <c r="D861" s="21"/>
    </row>
    <row r="862">
      <c r="C862" s="21"/>
      <c r="D862" s="21"/>
    </row>
    <row r="863">
      <c r="C863" s="21"/>
      <c r="D863" s="21"/>
    </row>
    <row r="864">
      <c r="C864" s="21"/>
      <c r="D864" s="21"/>
    </row>
    <row r="865">
      <c r="C865" s="21"/>
      <c r="D865" s="21"/>
    </row>
    <row r="866">
      <c r="C866" s="21"/>
      <c r="D866" s="21"/>
    </row>
    <row r="867">
      <c r="C867" s="21"/>
      <c r="D867" s="21"/>
    </row>
    <row r="868">
      <c r="C868" s="21"/>
      <c r="D868" s="21"/>
    </row>
    <row r="869">
      <c r="C869" s="21"/>
      <c r="D869" s="21"/>
    </row>
    <row r="870">
      <c r="C870" s="21"/>
      <c r="D870" s="21"/>
    </row>
    <row r="871">
      <c r="C871" s="21"/>
      <c r="D871" s="21"/>
    </row>
    <row r="872">
      <c r="C872" s="21"/>
      <c r="D872" s="21"/>
    </row>
    <row r="873">
      <c r="C873" s="21"/>
      <c r="D873" s="21"/>
    </row>
    <row r="874">
      <c r="C874" s="21"/>
      <c r="D874" s="21"/>
    </row>
    <row r="875">
      <c r="C875" s="21"/>
      <c r="D875" s="21"/>
    </row>
    <row r="876">
      <c r="C876" s="21"/>
      <c r="D876" s="21"/>
    </row>
    <row r="877">
      <c r="C877" s="21"/>
      <c r="D877" s="21"/>
    </row>
    <row r="878">
      <c r="C878" s="21"/>
      <c r="D878" s="21"/>
    </row>
    <row r="879">
      <c r="C879" s="21"/>
      <c r="D879" s="21"/>
    </row>
    <row r="880">
      <c r="C880" s="21"/>
      <c r="D880" s="21"/>
    </row>
    <row r="881">
      <c r="C881" s="21"/>
      <c r="D881" s="21"/>
    </row>
    <row r="882">
      <c r="C882" s="21"/>
      <c r="D882" s="21"/>
    </row>
    <row r="883">
      <c r="C883" s="21"/>
      <c r="D883" s="21"/>
    </row>
    <row r="884">
      <c r="C884" s="21"/>
      <c r="D884" s="21"/>
    </row>
    <row r="885">
      <c r="C885" s="21"/>
      <c r="D885" s="21"/>
    </row>
    <row r="886">
      <c r="C886" s="21"/>
      <c r="D886" s="21"/>
    </row>
    <row r="887">
      <c r="C887" s="21"/>
      <c r="D887" s="21"/>
    </row>
    <row r="888">
      <c r="C888" s="21"/>
      <c r="D888" s="21"/>
    </row>
    <row r="889">
      <c r="C889" s="21"/>
      <c r="D889" s="21"/>
    </row>
    <row r="890">
      <c r="C890" s="21"/>
      <c r="D890" s="21"/>
    </row>
    <row r="891">
      <c r="C891" s="21"/>
      <c r="D891" s="21"/>
    </row>
    <row r="892">
      <c r="C892" s="21"/>
      <c r="D892" s="21"/>
    </row>
    <row r="893">
      <c r="C893" s="21"/>
      <c r="D893" s="21"/>
    </row>
    <row r="894">
      <c r="C894" s="21"/>
      <c r="D894" s="21"/>
    </row>
    <row r="895">
      <c r="C895" s="21"/>
      <c r="D895" s="21"/>
    </row>
    <row r="896">
      <c r="C896" s="21"/>
      <c r="D896" s="21"/>
    </row>
    <row r="897">
      <c r="C897" s="21"/>
      <c r="D897" s="21"/>
    </row>
    <row r="898">
      <c r="C898" s="21"/>
      <c r="D898" s="21"/>
    </row>
    <row r="899">
      <c r="C899" s="21"/>
      <c r="D899" s="21"/>
    </row>
    <row r="900">
      <c r="C900" s="21"/>
      <c r="D900" s="21"/>
    </row>
    <row r="901">
      <c r="C901" s="21"/>
      <c r="D901" s="21"/>
    </row>
    <row r="902">
      <c r="C902" s="21"/>
      <c r="D902" s="21"/>
    </row>
    <row r="903">
      <c r="C903" s="21"/>
      <c r="D903" s="21"/>
    </row>
    <row r="904">
      <c r="C904" s="21"/>
      <c r="D904" s="21"/>
    </row>
    <row r="905">
      <c r="C905" s="21"/>
      <c r="D905" s="21"/>
    </row>
    <row r="906">
      <c r="C906" s="21"/>
      <c r="D906" s="21"/>
    </row>
    <row r="907">
      <c r="C907" s="21"/>
      <c r="D907" s="21"/>
    </row>
    <row r="908">
      <c r="C908" s="21"/>
      <c r="D908" s="21"/>
    </row>
    <row r="909">
      <c r="C909" s="21"/>
      <c r="D909" s="21"/>
    </row>
    <row r="910">
      <c r="C910" s="21"/>
      <c r="D910" s="21"/>
    </row>
    <row r="911">
      <c r="C911" s="21"/>
      <c r="D911" s="21"/>
    </row>
    <row r="912">
      <c r="C912" s="21"/>
      <c r="D912" s="21"/>
    </row>
    <row r="913">
      <c r="C913" s="21"/>
      <c r="D913" s="21"/>
    </row>
    <row r="914">
      <c r="C914" s="21"/>
      <c r="D914" s="21"/>
    </row>
    <row r="915">
      <c r="C915" s="21"/>
      <c r="D915" s="21"/>
    </row>
    <row r="916">
      <c r="C916" s="21"/>
      <c r="D916" s="21"/>
    </row>
    <row r="917">
      <c r="C917" s="21"/>
      <c r="D917" s="21"/>
    </row>
    <row r="918">
      <c r="C918" s="21"/>
      <c r="D918" s="21"/>
    </row>
    <row r="919">
      <c r="C919" s="21"/>
      <c r="D919" s="21"/>
    </row>
    <row r="920">
      <c r="C920" s="21"/>
      <c r="D920" s="21"/>
    </row>
    <row r="921">
      <c r="C921" s="21"/>
      <c r="D921" s="21"/>
    </row>
    <row r="922">
      <c r="C922" s="21"/>
      <c r="D922" s="21"/>
    </row>
    <row r="923">
      <c r="C923" s="21"/>
      <c r="D923" s="21"/>
    </row>
    <row r="924">
      <c r="C924" s="21"/>
      <c r="D924" s="21"/>
    </row>
    <row r="925">
      <c r="C925" s="21"/>
      <c r="D925" s="21"/>
    </row>
    <row r="926">
      <c r="C926" s="21"/>
      <c r="D926" s="21"/>
    </row>
    <row r="927">
      <c r="C927" s="21"/>
      <c r="D927" s="21"/>
    </row>
    <row r="928">
      <c r="C928" s="21"/>
      <c r="D928" s="21"/>
    </row>
    <row r="929">
      <c r="C929" s="21"/>
      <c r="D929" s="21"/>
    </row>
    <row r="930">
      <c r="C930" s="21"/>
      <c r="D930" s="21"/>
    </row>
    <row r="931">
      <c r="C931" s="21"/>
      <c r="D931" s="21"/>
    </row>
    <row r="932">
      <c r="C932" s="21"/>
      <c r="D932" s="21"/>
    </row>
    <row r="933">
      <c r="C933" s="21"/>
      <c r="D933" s="21"/>
    </row>
    <row r="934">
      <c r="C934" s="21"/>
      <c r="D934" s="21"/>
    </row>
    <row r="935">
      <c r="C935" s="21"/>
      <c r="D935" s="21"/>
    </row>
    <row r="936">
      <c r="C936" s="21"/>
      <c r="D936" s="21"/>
    </row>
    <row r="937">
      <c r="C937" s="21"/>
      <c r="D937" s="21"/>
    </row>
    <row r="938">
      <c r="C938" s="21"/>
      <c r="D938" s="21"/>
    </row>
    <row r="939">
      <c r="C939" s="21"/>
      <c r="D939" s="21"/>
    </row>
    <row r="940">
      <c r="C940" s="21"/>
      <c r="D940" s="21"/>
    </row>
    <row r="941">
      <c r="C941" s="21"/>
      <c r="D941" s="21"/>
    </row>
    <row r="942">
      <c r="C942" s="21"/>
      <c r="D942" s="21"/>
    </row>
    <row r="943">
      <c r="C943" s="21"/>
      <c r="D943" s="21"/>
    </row>
    <row r="944">
      <c r="C944" s="21"/>
      <c r="D944" s="21"/>
    </row>
    <row r="945">
      <c r="C945" s="21"/>
      <c r="D945" s="21"/>
    </row>
    <row r="946">
      <c r="C946" s="21"/>
      <c r="D946" s="21"/>
    </row>
    <row r="947">
      <c r="C947" s="21"/>
      <c r="D947" s="21"/>
    </row>
    <row r="948">
      <c r="C948" s="21"/>
      <c r="D948" s="21"/>
    </row>
    <row r="949">
      <c r="C949" s="21"/>
      <c r="D949" s="21"/>
    </row>
    <row r="950">
      <c r="C950" s="21"/>
      <c r="D950" s="21"/>
    </row>
    <row r="951">
      <c r="C951" s="21"/>
      <c r="D951" s="21"/>
    </row>
    <row r="952">
      <c r="C952" s="21"/>
      <c r="D952" s="21"/>
    </row>
    <row r="953">
      <c r="C953" s="21"/>
      <c r="D953" s="21"/>
    </row>
    <row r="954">
      <c r="C954" s="21"/>
      <c r="D954" s="21"/>
    </row>
    <row r="955">
      <c r="C955" s="21"/>
      <c r="D955" s="21"/>
    </row>
    <row r="956">
      <c r="C956" s="21"/>
      <c r="D956" s="21"/>
    </row>
    <row r="957">
      <c r="C957" s="21"/>
      <c r="D957" s="21"/>
    </row>
    <row r="958">
      <c r="C958" s="21"/>
      <c r="D958" s="21"/>
    </row>
    <row r="959">
      <c r="C959" s="21"/>
      <c r="D959" s="21"/>
    </row>
    <row r="960">
      <c r="C960" s="21"/>
      <c r="D960" s="21"/>
    </row>
    <row r="961">
      <c r="C961" s="21"/>
      <c r="D961" s="21"/>
    </row>
    <row r="962">
      <c r="C962" s="21"/>
      <c r="D962" s="21"/>
    </row>
    <row r="963">
      <c r="C963" s="21"/>
      <c r="D963" s="21"/>
    </row>
    <row r="964">
      <c r="C964" s="21"/>
      <c r="D964" s="21"/>
    </row>
    <row r="965">
      <c r="C965" s="21"/>
      <c r="D965" s="21"/>
    </row>
    <row r="966">
      <c r="C966" s="21"/>
      <c r="D966" s="21"/>
    </row>
    <row r="967">
      <c r="C967" s="21"/>
      <c r="D967" s="21"/>
    </row>
    <row r="968">
      <c r="C968" s="21"/>
      <c r="D968" s="21"/>
    </row>
    <row r="969">
      <c r="C969" s="21"/>
      <c r="D969" s="21"/>
    </row>
    <row r="970">
      <c r="C970" s="21"/>
      <c r="D970" s="21"/>
    </row>
    <row r="971">
      <c r="C971" s="21"/>
      <c r="D971" s="21"/>
    </row>
    <row r="972">
      <c r="C972" s="21"/>
      <c r="D972" s="21"/>
    </row>
    <row r="973">
      <c r="C973" s="21"/>
      <c r="D973" s="21"/>
    </row>
    <row r="974">
      <c r="C974" s="21"/>
      <c r="D974" s="21"/>
    </row>
    <row r="975">
      <c r="C975" s="21"/>
      <c r="D975" s="21"/>
    </row>
    <row r="976">
      <c r="C976" s="21"/>
      <c r="D976" s="21"/>
    </row>
    <row r="977">
      <c r="C977" s="21"/>
      <c r="D977" s="21"/>
    </row>
    <row r="978">
      <c r="C978" s="21"/>
      <c r="D978" s="21"/>
    </row>
    <row r="979">
      <c r="C979" s="21"/>
      <c r="D979" s="21"/>
    </row>
    <row r="980">
      <c r="C980" s="21"/>
      <c r="D980" s="21"/>
    </row>
    <row r="981">
      <c r="C981" s="21"/>
      <c r="D981" s="21"/>
    </row>
    <row r="982">
      <c r="C982" s="21"/>
      <c r="D982" s="21"/>
    </row>
    <row r="983">
      <c r="C983" s="21"/>
      <c r="D983" s="21"/>
    </row>
    <row r="984">
      <c r="C984" s="21"/>
      <c r="D984" s="21"/>
    </row>
    <row r="985">
      <c r="C985" s="21"/>
      <c r="D985" s="21"/>
    </row>
    <row r="986">
      <c r="C986" s="21"/>
      <c r="D986" s="21"/>
    </row>
    <row r="987">
      <c r="C987" s="21"/>
      <c r="D987" s="21"/>
    </row>
    <row r="988">
      <c r="C988" s="21"/>
      <c r="D988" s="21"/>
    </row>
    <row r="989">
      <c r="C989" s="21"/>
      <c r="D989" s="21"/>
    </row>
    <row r="990">
      <c r="C990" s="21"/>
      <c r="D990" s="21"/>
    </row>
    <row r="991">
      <c r="C991" s="21"/>
      <c r="D991" s="21"/>
    </row>
    <row r="992">
      <c r="C992" s="21"/>
      <c r="D992" s="21"/>
    </row>
    <row r="993">
      <c r="C993" s="21"/>
      <c r="D993" s="21"/>
    </row>
    <row r="994">
      <c r="C994" s="21"/>
      <c r="D994" s="21"/>
    </row>
    <row r="995">
      <c r="C995" s="21"/>
      <c r="D995" s="21"/>
    </row>
    <row r="996">
      <c r="C996" s="21"/>
      <c r="D996" s="21"/>
    </row>
    <row r="997">
      <c r="C997" s="21"/>
      <c r="D997" s="21"/>
    </row>
    <row r="998">
      <c r="C998" s="21"/>
      <c r="D998" s="21"/>
    </row>
    <row r="999">
      <c r="C999" s="21"/>
      <c r="D99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86"/>
    <col customWidth="1" min="3" max="3" width="9.0"/>
    <col customWidth="1" min="4" max="4" width="9.14"/>
    <col customWidth="1" min="5" max="5" width="11.29"/>
    <col customWidth="1" min="6" max="6" width="10.86"/>
    <col customWidth="1" min="7" max="7" width="9.14"/>
    <col customWidth="1" min="8" max="8" width="8.71"/>
    <col customWidth="1" min="9" max="10" width="7.86"/>
    <col customWidth="1" min="11" max="11" width="8.43"/>
    <col customWidth="1" min="12" max="12" width="8.71"/>
    <col customWidth="1" min="13" max="13" width="16.14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182.0</v>
      </c>
      <c r="C2" s="24">
        <v>182.0</v>
      </c>
      <c r="D2" s="24">
        <v>66.0</v>
      </c>
      <c r="E2" s="24">
        <v>7.0</v>
      </c>
      <c r="F2" s="24">
        <v>11.0</v>
      </c>
      <c r="G2" s="24">
        <v>17.0</v>
      </c>
      <c r="H2" s="24">
        <v>19.0</v>
      </c>
      <c r="I2" s="24">
        <v>64.0</v>
      </c>
      <c r="J2" s="24">
        <v>36.0</v>
      </c>
      <c r="K2" s="24">
        <v>22.0</v>
      </c>
      <c r="L2" s="24">
        <v>49.0</v>
      </c>
      <c r="M2" s="24">
        <v>116.0</v>
      </c>
    </row>
    <row r="3">
      <c r="A3" s="24" t="s">
        <v>71</v>
      </c>
      <c r="B3" s="24">
        <v>10750.0</v>
      </c>
      <c r="C3" s="24">
        <v>10750.0</v>
      </c>
      <c r="D3" s="24">
        <v>574.0</v>
      </c>
      <c r="E3" s="24">
        <v>20.0</v>
      </c>
      <c r="F3" s="24">
        <v>1.0</v>
      </c>
      <c r="G3" s="24">
        <v>61.0</v>
      </c>
      <c r="H3" s="24">
        <v>29.0</v>
      </c>
      <c r="I3" s="24">
        <v>932.0</v>
      </c>
      <c r="J3" s="24">
        <v>67.0</v>
      </c>
      <c r="K3" s="24">
        <v>3.0</v>
      </c>
      <c r="L3" s="24">
        <v>131.0</v>
      </c>
      <c r="M3" s="24">
        <v>2792.0</v>
      </c>
    </row>
    <row r="4">
      <c r="A4" s="24" t="s">
        <v>72</v>
      </c>
      <c r="B4" s="24">
        <f t="shared" ref="B4:M4" si="1">SUM(B2:B3)</f>
        <v>10932</v>
      </c>
      <c r="C4" s="24">
        <f t="shared" si="1"/>
        <v>10932</v>
      </c>
      <c r="D4" s="24">
        <f t="shared" si="1"/>
        <v>640</v>
      </c>
      <c r="E4" s="24">
        <f t="shared" si="1"/>
        <v>27</v>
      </c>
      <c r="F4" s="24">
        <f t="shared" si="1"/>
        <v>12</v>
      </c>
      <c r="G4" s="24">
        <f t="shared" si="1"/>
        <v>78</v>
      </c>
      <c r="H4" s="24">
        <f t="shared" si="1"/>
        <v>48</v>
      </c>
      <c r="I4" s="24">
        <f t="shared" si="1"/>
        <v>996</v>
      </c>
      <c r="J4" s="24">
        <f t="shared" si="1"/>
        <v>103</v>
      </c>
      <c r="K4" s="24">
        <f t="shared" si="1"/>
        <v>25</v>
      </c>
      <c r="L4" s="24">
        <f t="shared" si="1"/>
        <v>180</v>
      </c>
      <c r="M4" s="24">
        <f t="shared" si="1"/>
        <v>2908</v>
      </c>
    </row>
    <row r="5">
      <c r="K5" s="24"/>
    </row>
    <row r="6">
      <c r="B6" s="25" t="s">
        <v>73</v>
      </c>
      <c r="C6" s="26" t="s">
        <v>74</v>
      </c>
      <c r="K6" s="24"/>
    </row>
    <row r="7">
      <c r="B7" s="26" t="s">
        <v>75</v>
      </c>
      <c r="C7" s="25" t="s">
        <v>76</v>
      </c>
      <c r="K7" s="24"/>
    </row>
    <row r="8">
      <c r="K8" s="24"/>
    </row>
    <row r="9">
      <c r="A9" s="27" t="s">
        <v>60</v>
      </c>
      <c r="B9" s="25">
        <f>D2</f>
        <v>66</v>
      </c>
      <c r="C9" s="26">
        <f>D3</f>
        <v>574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116</v>
      </c>
      <c r="C10" s="25">
        <f>C3-D3</f>
        <v>10176</v>
      </c>
      <c r="D10" s="27">
        <f>SUM(B9:C10)</f>
        <v>10932</v>
      </c>
      <c r="F10" s="28">
        <f>B9/(B9+B10)</f>
        <v>0.3626373626</v>
      </c>
      <c r="G10" s="28">
        <f>C10/(C10+C9)</f>
        <v>0.9466046512</v>
      </c>
      <c r="H10" s="28">
        <f>(C10+B9)/D10</f>
        <v>0.9368825467</v>
      </c>
      <c r="I10" s="28">
        <f>((B9*C10)-(C9*B10))/SQRT((B9+C9)*(B9+B10)*(C10+C9)*(C10+B10))</f>
        <v>0.1685382744</v>
      </c>
      <c r="J10" s="28">
        <f>C4*D2/(D4*(B9+B10))</f>
        <v>6.194299451</v>
      </c>
      <c r="K10" s="28">
        <f>((D2*C4)-((B9+B10)*D2))/(D2*C4-2*(B9+B10)*D2+(B9+B10)*D4)</f>
        <v>0.8716558882</v>
      </c>
      <c r="L10" s="29">
        <f>(I10+1)/2</f>
        <v>0.5842691372</v>
      </c>
      <c r="M10" s="29">
        <f>(2*B9)/(2*B9+C9+B10)</f>
        <v>0.1605839416</v>
      </c>
    </row>
    <row r="11">
      <c r="F11" s="28"/>
      <c r="G11" s="28"/>
      <c r="H11" s="28"/>
      <c r="I11" s="28"/>
      <c r="J11" s="28"/>
      <c r="K11" s="28"/>
    </row>
    <row r="12">
      <c r="A12" s="27" t="s">
        <v>61</v>
      </c>
      <c r="B12" s="25">
        <f>E2</f>
        <v>7</v>
      </c>
      <c r="C12" s="26">
        <f>E3</f>
        <v>20</v>
      </c>
      <c r="F12" s="30" t="s">
        <v>77</v>
      </c>
      <c r="G12" s="30" t="s">
        <v>78</v>
      </c>
      <c r="H12" s="30" t="s">
        <v>15</v>
      </c>
      <c r="I12" s="30" t="s">
        <v>79</v>
      </c>
      <c r="J12" s="30" t="s">
        <v>80</v>
      </c>
      <c r="K12" s="30" t="s">
        <v>81</v>
      </c>
      <c r="L12" s="22" t="s">
        <v>82</v>
      </c>
      <c r="M12" s="22" t="s">
        <v>83</v>
      </c>
    </row>
    <row r="13">
      <c r="B13" s="26">
        <f>C2-E2</f>
        <v>175</v>
      </c>
      <c r="C13" s="25">
        <f>C3-E3</f>
        <v>10730</v>
      </c>
      <c r="D13" s="31">
        <f>SUM(B12:C13)</f>
        <v>10932</v>
      </c>
      <c r="F13" s="28">
        <f>B12/(B12+B13)</f>
        <v>0.03846153846</v>
      </c>
      <c r="G13" s="28">
        <f>C13/(C13+C12)</f>
        <v>0.9981395349</v>
      </c>
      <c r="H13" s="28">
        <f>(C13+B12)/D13</f>
        <v>0.9821624588</v>
      </c>
      <c r="I13" s="28">
        <f>((B12*C13)-(C12*B13))/SQRT((B12+C12)*(B12+B13)*(C13+C12)*(C13+B13))</f>
        <v>0.09434937564</v>
      </c>
      <c r="J13" s="28">
        <f>C4*E2/(E4*(B12+B13))</f>
        <v>15.57264957</v>
      </c>
      <c r="K13" s="28">
        <f>((E2*C4)-((B12+B13)*E2))/(E2*C4-2*(B12+B13)*E2+(B12+B13)*E4)</f>
        <v>0.9538598048</v>
      </c>
      <c r="L13" s="29">
        <f>(I13+1)/2</f>
        <v>0.5471746878</v>
      </c>
      <c r="M13" s="29">
        <f>(2*B12)/(2*B12+C12+B13)</f>
        <v>0.06698564593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11</v>
      </c>
      <c r="C15" s="26">
        <f>F3</f>
        <v>1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171</v>
      </c>
      <c r="C16" s="25">
        <f>C3-F3</f>
        <v>10749</v>
      </c>
      <c r="D16" s="31">
        <f>SUM(B15:C16)</f>
        <v>10932</v>
      </c>
      <c r="F16" s="28">
        <f>B15/(B15+B16)</f>
        <v>0.06043956044</v>
      </c>
      <c r="G16" s="28">
        <f>C16/(C16+C15)</f>
        <v>0.9999069767</v>
      </c>
      <c r="H16" s="28">
        <f>(C16+B15)/D16</f>
        <v>0.9842663739</v>
      </c>
      <c r="I16" s="28">
        <f>((B15*C16)-(C15*B16))/SQRT((B15+C15)*(B15+B16)*(C16+C15)*(C16+B16))</f>
        <v>0.2331794847</v>
      </c>
      <c r="J16" s="28">
        <f>C4*F2/(F4*(B15+B16))</f>
        <v>55.06043956</v>
      </c>
      <c r="K16" s="28">
        <f>((F2*C4)-((B15+B16)*F2))/(F2*C4-2*(B15+B16)*F2+(B15+B16)*F4)</f>
        <v>0.9984632532</v>
      </c>
      <c r="L16" s="29">
        <f>(I16+1)/2</f>
        <v>0.6165897424</v>
      </c>
      <c r="M16" s="29">
        <f>(2*B15)/(2*B15+C15+B16)</f>
        <v>0.1134020619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17</v>
      </c>
      <c r="C18" s="26">
        <f>G3</f>
        <v>61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165</v>
      </c>
      <c r="C19" s="25">
        <f>C3-G3</f>
        <v>10689</v>
      </c>
      <c r="D19" s="31">
        <f>SUM(B18:C19)</f>
        <v>10932</v>
      </c>
      <c r="F19" s="28">
        <f>B18/(B18+B19)</f>
        <v>0.09340659341</v>
      </c>
      <c r="G19" s="28">
        <f>C19/(C19+C18)</f>
        <v>0.9943255814</v>
      </c>
      <c r="H19" s="28">
        <f>(C19+B18)/D19</f>
        <v>0.9793267472</v>
      </c>
      <c r="I19" s="28">
        <f>((B18*C19)-(C18*B19))/SQRT((B18+C18)*(B18+B19)*(C19+C18)*(C19+B19))</f>
        <v>0.1333695271</v>
      </c>
      <c r="J19" s="28">
        <f>C4*G2/(G4*(B18+B19))</f>
        <v>13.09129332</v>
      </c>
      <c r="K19" s="28">
        <f>((G2*C4)-((B18+B19)*G2))/(G2*C4-2*(B18+B19)*G2+(B18+B19)*G4)</f>
        <v>0.942729505</v>
      </c>
      <c r="L19" s="29">
        <f>(I19+1)/2</f>
        <v>0.5666847636</v>
      </c>
      <c r="M19" s="29">
        <f>(2*B18)/(2*B18+C18+B19)</f>
        <v>0.1307692308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19</v>
      </c>
      <c r="C21" s="26">
        <f>H3</f>
        <v>29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163</v>
      </c>
      <c r="C22" s="25">
        <f>C3-H3</f>
        <v>10721</v>
      </c>
      <c r="D22" s="31">
        <f>SUM(B21:C22)</f>
        <v>10932</v>
      </c>
      <c r="F22" s="28">
        <f>B21/(B21+B22)</f>
        <v>0.1043956044</v>
      </c>
      <c r="G22" s="28">
        <f>C22/(C22+C21)</f>
        <v>0.9973023256</v>
      </c>
      <c r="H22" s="28">
        <f>(C22+B21)/D22</f>
        <v>0.9824368825</v>
      </c>
      <c r="I22" s="28">
        <f>((B21*C22)-(C21*B22))/SQRT((B21+C21)*(B21+B22)*(C22+C21)*(C22+B22))</f>
        <v>0.196805465</v>
      </c>
      <c r="J22" s="28">
        <f>C4*H2/(H4*(B21+B22))</f>
        <v>23.7760989</v>
      </c>
      <c r="K22" s="28">
        <f>((H2*C4)-((B21+B22)*H2))/(H2*C4-2*(B21+B22)*H2+(B21+B22)*H4)</f>
        <v>0.9748100493</v>
      </c>
      <c r="L22" s="29">
        <f>(I22+1)/2</f>
        <v>0.5984027325</v>
      </c>
      <c r="M22" s="29">
        <f>(2*B21)/(2*B21+C21+B22)</f>
        <v>0.1652173913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64</v>
      </c>
      <c r="C24" s="26">
        <f>I3</f>
        <v>932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118</v>
      </c>
      <c r="C25" s="25">
        <f>C3-I3</f>
        <v>9818</v>
      </c>
      <c r="D25" s="31">
        <f>SUM(B24:C25)</f>
        <v>10932</v>
      </c>
      <c r="F25" s="28">
        <f>B24/(B24+B25)</f>
        <v>0.3516483516</v>
      </c>
      <c r="G25" s="28">
        <f>C25/(C25+C24)</f>
        <v>0.9133023256</v>
      </c>
      <c r="H25" s="28">
        <f>(C25+B24)/D25</f>
        <v>0.9039517014</v>
      </c>
      <c r="I25" s="28">
        <f>((B24*C25)-(C24*B25))/SQRT((B24+C24)*(B24+B25)*(C25+C24)*(C25+B25))</f>
        <v>0.1178065667</v>
      </c>
      <c r="J25" s="28">
        <f>C4*I2/(I4*(B24+B25))</f>
        <v>3.859658414</v>
      </c>
      <c r="K25" s="28">
        <f>((I2*C4)-((B24+B25)*I2))/(I2*C4-2*(B24+B25)*I2+(B24+B25)*I4)</f>
        <v>0.8022163559</v>
      </c>
      <c r="L25" s="29">
        <f>(I25+1)/2</f>
        <v>0.5589032834</v>
      </c>
      <c r="M25" s="29">
        <f>(2*B24)/(2*B24+C24+B25)</f>
        <v>0.1086587436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36</v>
      </c>
      <c r="C27" s="26">
        <f>J$3</f>
        <v>67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146</v>
      </c>
      <c r="C28" s="25">
        <f>$C$3-J$3</f>
        <v>10683</v>
      </c>
      <c r="D28" s="27">
        <f>SUM(B27:C28)</f>
        <v>10932</v>
      </c>
      <c r="F28" s="28">
        <f>B27/(B27+B28)</f>
        <v>0.1978021978</v>
      </c>
      <c r="G28" s="28">
        <f>C28/(C28+C27)</f>
        <v>0.9937674419</v>
      </c>
      <c r="H28" s="28">
        <f>(C28+B27)/D28</f>
        <v>0.9805159166</v>
      </c>
      <c r="I28" s="28">
        <f>((B27*C28)-(C27*B28))/SQRT((B27+C27)*(B27+B28)*(C28+C27)*(C28+B28))</f>
        <v>0.2537194839</v>
      </c>
      <c r="J28" s="28">
        <f>$C$4*J$2/(J$4*(B27+B28))</f>
        <v>20.9939187</v>
      </c>
      <c r="K28" s="28">
        <f>((J$2*$C$4)-((B27+B28)*J$2))/(J$2*$C$4-2*(B27+B28)*J$2+(B27+B28)*J$4)</f>
        <v>0.9694534487</v>
      </c>
      <c r="L28" s="29">
        <f>(I28+1)/2</f>
        <v>0.6268597419</v>
      </c>
      <c r="M28" s="29">
        <f>(2*B27)/(2*B27+C27+B28)</f>
        <v>0.2526315789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22</v>
      </c>
      <c r="C30" s="26">
        <f>K$3</f>
        <v>3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160</v>
      </c>
      <c r="C31" s="25">
        <f>$C$3-K$3</f>
        <v>10747</v>
      </c>
      <c r="D31" s="27">
        <f>SUM(B30:C31)</f>
        <v>10932</v>
      </c>
      <c r="F31" s="28">
        <f>B30/(B30+B31)</f>
        <v>0.1208791209</v>
      </c>
      <c r="G31" s="28">
        <f>C31/(C31+C30)</f>
        <v>0.9997209302</v>
      </c>
      <c r="H31" s="28">
        <f>(C31+B30)/D31</f>
        <v>0.9850896451</v>
      </c>
      <c r="I31" s="28">
        <f>((B30*C31)-(C30*B31))/SQRT((B30+C30)*(B30+B31)*(C31+C30)*(C31+B31))</f>
        <v>0.3230462895</v>
      </c>
      <c r="J31" s="28">
        <f>$C$4*K$2/(K$4*(B30+B31))</f>
        <v>52.85802198</v>
      </c>
      <c r="K31" s="28">
        <f>((K$2*$C$4)-((B30+B31)*K$2))/(K$2*$C$4-2*(B30+B31)*K$2+(B30+B31)*K$4)</f>
        <v>0.9976966496</v>
      </c>
      <c r="L31" s="29">
        <f>(I31+1)/2</f>
        <v>0.6615231447</v>
      </c>
      <c r="M31" s="29">
        <f>(2*B30)/(2*B30+C30+B31)</f>
        <v>0.2125603865</v>
      </c>
    </row>
    <row r="32" ht="15.75" customHeight="1">
      <c r="K32" s="24"/>
      <c r="L32" s="29"/>
      <c r="M32" s="29"/>
    </row>
    <row r="33" ht="15.75" customHeight="1">
      <c r="A33" s="33" t="s">
        <v>68</v>
      </c>
      <c r="B33" s="25">
        <f>L$2</f>
        <v>49</v>
      </c>
      <c r="C33" s="26">
        <f>L$3</f>
        <v>131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133</v>
      </c>
      <c r="C34" s="25">
        <f>$C$3-L$3</f>
        <v>10619</v>
      </c>
      <c r="D34" s="27">
        <f>SUM(B33:C34)</f>
        <v>10932</v>
      </c>
      <c r="F34" s="28">
        <f>B33/(B33+B34)</f>
        <v>0.2692307692</v>
      </c>
      <c r="G34" s="28">
        <f>C34/(C34+C33)</f>
        <v>0.9878139535</v>
      </c>
      <c r="H34" s="28">
        <f>(C34+B33)/D34</f>
        <v>0.9758507135</v>
      </c>
      <c r="I34" s="28">
        <f>((B33*C34)-(C33*B34))/SQRT((B33+C33)*(B33+B34)*(C34+C33)*(C34+B34))</f>
        <v>0.2584447638</v>
      </c>
      <c r="J34" s="28">
        <f>$C$4*L$2/(L$4*(B33+B34))</f>
        <v>16.35128205</v>
      </c>
      <c r="K34" s="28">
        <f>((L$2*$C$4)-((B33+B34)*L$2))/(L$2*$C$4-2*(B33+B34)*L$2+(B33+B34)*L$4)</f>
        <v>0.9566975183</v>
      </c>
      <c r="L34" s="29">
        <f>(I34+1)/2</f>
        <v>0.6292223819</v>
      </c>
      <c r="M34" s="29">
        <f>(2*B33)/(2*B33+C33+B34)</f>
        <v>0.270718232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116</v>
      </c>
      <c r="C36" s="26">
        <f>M$3</f>
        <v>2792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66</v>
      </c>
      <c r="C37" s="25">
        <f>$C$3-M$3</f>
        <v>7958</v>
      </c>
      <c r="D37" s="27">
        <f>SUM(B36:C37)</f>
        <v>10932</v>
      </c>
      <c r="F37" s="28">
        <f>B36/(B36+B37)</f>
        <v>0.6373626374</v>
      </c>
      <c r="G37" s="28">
        <f>C37/(C37+C36)</f>
        <v>0.7402790698</v>
      </c>
      <c r="H37" s="28">
        <f>(C37+B36)/D37</f>
        <v>0.7385656787</v>
      </c>
      <c r="I37" s="28">
        <f>((B36*C37)-(C36*B37))/SQRT((B36+C36)*(B36+B37)*(C37+C36)*(C37+B37))</f>
        <v>0.1093521226</v>
      </c>
      <c r="J37" s="28">
        <f>$C$4*M$2/(M$4*(B36+B37))</f>
        <v>2.396027631</v>
      </c>
      <c r="K37" s="28">
        <f>((M$2*$C$4)-((B36+B37)*M$2))/(M$2*$C$4-2*(B36+B37)*M$2+(B36+B37)*M$4)</f>
        <v>0.7104830145</v>
      </c>
      <c r="L37" s="29">
        <f>(I37+1)/2</f>
        <v>0.5546760613</v>
      </c>
      <c r="M37" s="29">
        <f>(2*B36)/(2*B36+C36+B37)</f>
        <v>0.07508090615</v>
      </c>
    </row>
    <row r="38" ht="15.75" customHeight="1">
      <c r="K38" s="24"/>
    </row>
    <row r="39" ht="15.75" customHeight="1">
      <c r="K39" s="34"/>
    </row>
    <row r="40" ht="15.75" customHeight="1">
      <c r="K40" s="24"/>
    </row>
    <row r="41" ht="15.75" customHeight="1">
      <c r="K41" s="24"/>
    </row>
    <row r="42" ht="15.75" customHeight="1">
      <c r="K42" s="24"/>
    </row>
    <row r="43" ht="15.75" customHeight="1">
      <c r="K43" s="24"/>
    </row>
    <row r="44" ht="15.75" customHeight="1">
      <c r="K44" s="24"/>
    </row>
    <row r="45" ht="15.75" customHeight="1">
      <c r="K45" s="24"/>
    </row>
    <row r="46" ht="15.75" customHeight="1">
      <c r="K46" s="24"/>
    </row>
    <row r="47" ht="15.75" customHeight="1">
      <c r="K47" s="24"/>
    </row>
    <row r="48" ht="15.75" customHeight="1">
      <c r="K48" s="24"/>
    </row>
    <row r="49" ht="15.75" customHeight="1">
      <c r="K49" s="24"/>
    </row>
    <row r="50" ht="15.75" customHeight="1">
      <c r="K50" s="24"/>
    </row>
    <row r="51" ht="15.75" customHeight="1">
      <c r="K51" s="24"/>
    </row>
    <row r="52" ht="15.75" customHeight="1">
      <c r="K52" s="24"/>
    </row>
    <row r="53" ht="15.75" customHeight="1">
      <c r="K53" s="24"/>
    </row>
    <row r="54" ht="15.75" customHeight="1">
      <c r="K54" s="24"/>
    </row>
    <row r="55" ht="15.75" customHeight="1">
      <c r="K55" s="24"/>
    </row>
    <row r="56" ht="15.75" customHeight="1">
      <c r="K56" s="24"/>
    </row>
    <row r="57" ht="15.75" customHeight="1">
      <c r="K57" s="24"/>
    </row>
    <row r="58" ht="15.75" customHeight="1">
      <c r="K58" s="24"/>
    </row>
    <row r="59" ht="15.75" customHeight="1">
      <c r="K59" s="24"/>
    </row>
    <row r="60" ht="15.75" customHeight="1">
      <c r="K60" s="24"/>
    </row>
    <row r="61" ht="15.75" customHeight="1">
      <c r="K61" s="24"/>
    </row>
    <row r="62" ht="15.75" customHeight="1">
      <c r="K62" s="24"/>
    </row>
    <row r="63" ht="15.75" customHeight="1">
      <c r="K63" s="24"/>
    </row>
    <row r="64" ht="15.75" customHeight="1">
      <c r="K64" s="24"/>
    </row>
    <row r="65" ht="15.75" customHeight="1">
      <c r="K65" s="24"/>
    </row>
    <row r="66" ht="15.75" customHeight="1">
      <c r="K66" s="24"/>
    </row>
    <row r="67" ht="15.75" customHeight="1">
      <c r="K67" s="24"/>
    </row>
    <row r="68" ht="15.75" customHeight="1">
      <c r="K68" s="24"/>
    </row>
    <row r="69" ht="15.75" customHeight="1">
      <c r="K69" s="24"/>
    </row>
    <row r="70" ht="15.75" customHeight="1">
      <c r="K70" s="24"/>
    </row>
    <row r="71" ht="15.75" customHeight="1">
      <c r="K71" s="24"/>
    </row>
    <row r="72" ht="15.75" customHeight="1">
      <c r="K72" s="24"/>
    </row>
    <row r="73" ht="15.75" customHeight="1">
      <c r="K73" s="24"/>
    </row>
    <row r="74" ht="15.75" customHeight="1">
      <c r="K74" s="24"/>
    </row>
    <row r="75" ht="15.75" customHeight="1">
      <c r="K75" s="24"/>
    </row>
    <row r="76" ht="15.75" customHeight="1">
      <c r="K76" s="24"/>
    </row>
    <row r="77" ht="15.75" customHeight="1">
      <c r="K77" s="24"/>
    </row>
    <row r="78" ht="15.75" customHeight="1">
      <c r="K78" s="24"/>
    </row>
    <row r="79" ht="15.75" customHeight="1">
      <c r="K79" s="24"/>
    </row>
    <row r="80" ht="15.75" customHeight="1">
      <c r="K80" s="24"/>
    </row>
    <row r="81" ht="15.75" customHeight="1">
      <c r="K81" s="24"/>
    </row>
    <row r="82" ht="15.75" customHeight="1">
      <c r="K82" s="24"/>
    </row>
    <row r="83" ht="15.75" customHeight="1">
      <c r="K83" s="24"/>
    </row>
    <row r="84" ht="15.75" customHeight="1">
      <c r="K84" s="24"/>
    </row>
    <row r="85" ht="15.75" customHeight="1">
      <c r="K85" s="24"/>
    </row>
    <row r="86" ht="15.75" customHeight="1">
      <c r="K86" s="24"/>
    </row>
    <row r="87" ht="15.75" customHeight="1">
      <c r="K87" s="24"/>
    </row>
    <row r="88" ht="15.75" customHeight="1">
      <c r="K88" s="24"/>
    </row>
    <row r="89" ht="15.75" customHeight="1">
      <c r="K89" s="24"/>
    </row>
    <row r="90" ht="15.75" customHeight="1">
      <c r="K90" s="24"/>
    </row>
    <row r="91" ht="15.75" customHeight="1">
      <c r="K91" s="24"/>
    </row>
    <row r="92" ht="15.75" customHeight="1">
      <c r="K92" s="24"/>
    </row>
    <row r="93" ht="15.75" customHeight="1">
      <c r="K93" s="24"/>
    </row>
    <row r="94" ht="15.75" customHeight="1">
      <c r="K94" s="24"/>
    </row>
    <row r="95" ht="15.75" customHeight="1">
      <c r="K95" s="24"/>
    </row>
    <row r="96" ht="15.75" customHeight="1">
      <c r="K96" s="24"/>
    </row>
    <row r="97" ht="15.75" customHeight="1">
      <c r="K97" s="24"/>
    </row>
    <row r="98" ht="15.75" customHeight="1">
      <c r="K98" s="24"/>
    </row>
    <row r="99" ht="15.75" customHeight="1">
      <c r="K99" s="24"/>
    </row>
    <row r="100" ht="15.75" customHeight="1">
      <c r="K100" s="24"/>
    </row>
    <row r="101" ht="15.75" customHeight="1">
      <c r="K101" s="24"/>
    </row>
    <row r="102" ht="15.75" customHeight="1">
      <c r="K102" s="24"/>
    </row>
    <row r="103" ht="15.75" customHeight="1">
      <c r="K103" s="24"/>
    </row>
    <row r="104" ht="15.75" customHeight="1">
      <c r="K104" s="24"/>
    </row>
    <row r="105" ht="15.75" customHeight="1">
      <c r="K105" s="24"/>
    </row>
    <row r="106" ht="15.75" customHeight="1">
      <c r="K106" s="24"/>
    </row>
    <row r="107" ht="15.75" customHeight="1">
      <c r="K107" s="24"/>
    </row>
    <row r="108" ht="15.75" customHeight="1">
      <c r="K108" s="24"/>
    </row>
    <row r="109" ht="15.75" customHeight="1">
      <c r="K109" s="24"/>
    </row>
    <row r="110" ht="15.75" customHeight="1">
      <c r="K110" s="24"/>
    </row>
    <row r="111" ht="15.75" customHeight="1">
      <c r="K111" s="24"/>
    </row>
    <row r="112" ht="15.75" customHeight="1">
      <c r="K112" s="24"/>
    </row>
    <row r="113" ht="15.75" customHeight="1">
      <c r="K113" s="24"/>
    </row>
    <row r="114" ht="15.75" customHeight="1">
      <c r="K114" s="24"/>
    </row>
    <row r="115" ht="15.75" customHeight="1">
      <c r="K115" s="24"/>
    </row>
    <row r="116" ht="15.75" customHeight="1">
      <c r="K116" s="24"/>
    </row>
    <row r="117" ht="15.75" customHeight="1">
      <c r="K117" s="24"/>
    </row>
    <row r="118" ht="15.75" customHeight="1">
      <c r="K118" s="24"/>
    </row>
    <row r="119" ht="15.75" customHeight="1">
      <c r="K119" s="24"/>
    </row>
    <row r="120" ht="15.75" customHeight="1">
      <c r="K120" s="24"/>
    </row>
    <row r="121" ht="15.75" customHeight="1">
      <c r="K121" s="24"/>
    </row>
    <row r="122" ht="15.75" customHeight="1">
      <c r="K122" s="24"/>
    </row>
    <row r="123" ht="15.75" customHeight="1">
      <c r="K123" s="24"/>
    </row>
    <row r="124" ht="15.75" customHeight="1">
      <c r="K124" s="24"/>
    </row>
    <row r="125" ht="15.75" customHeight="1">
      <c r="K125" s="24"/>
    </row>
    <row r="126" ht="15.75" customHeight="1">
      <c r="K126" s="24"/>
    </row>
    <row r="127" ht="15.75" customHeight="1">
      <c r="K127" s="24"/>
    </row>
    <row r="128" ht="15.75" customHeight="1">
      <c r="K128" s="24"/>
    </row>
    <row r="129" ht="15.75" customHeight="1">
      <c r="K129" s="24"/>
    </row>
    <row r="130" ht="15.75" customHeight="1">
      <c r="K130" s="24"/>
    </row>
    <row r="131" ht="15.75" customHeight="1">
      <c r="K131" s="24"/>
    </row>
    <row r="132" ht="15.75" customHeight="1">
      <c r="K132" s="24"/>
    </row>
    <row r="133" ht="15.75" customHeight="1">
      <c r="K133" s="24"/>
    </row>
    <row r="134" ht="15.75" customHeight="1">
      <c r="K134" s="24"/>
    </row>
    <row r="135" ht="15.75" customHeight="1">
      <c r="K135" s="24"/>
    </row>
    <row r="136" ht="15.75" customHeight="1">
      <c r="K136" s="24"/>
    </row>
    <row r="137" ht="15.75" customHeight="1">
      <c r="K137" s="24"/>
    </row>
    <row r="138" ht="15.75" customHeight="1">
      <c r="K138" s="24"/>
    </row>
    <row r="139" ht="15.75" customHeight="1">
      <c r="K139" s="24"/>
    </row>
    <row r="140" ht="15.75" customHeight="1">
      <c r="K140" s="24"/>
    </row>
    <row r="141" ht="15.75" customHeight="1">
      <c r="K141" s="24"/>
    </row>
    <row r="142" ht="15.75" customHeight="1">
      <c r="K142" s="24"/>
    </row>
    <row r="143" ht="15.75" customHeight="1">
      <c r="K143" s="24"/>
    </row>
    <row r="144" ht="15.75" customHeight="1">
      <c r="K144" s="24"/>
    </row>
    <row r="145" ht="15.75" customHeight="1">
      <c r="K145" s="24"/>
    </row>
    <row r="146" ht="15.75" customHeight="1">
      <c r="K146" s="24"/>
    </row>
    <row r="147" ht="15.75" customHeight="1">
      <c r="K147" s="24"/>
    </row>
    <row r="148" ht="15.75" customHeight="1">
      <c r="K148" s="24"/>
    </row>
    <row r="149" ht="15.75" customHeight="1">
      <c r="K149" s="24"/>
    </row>
    <row r="150" ht="15.75" customHeight="1">
      <c r="K150" s="24"/>
    </row>
    <row r="151" ht="15.75" customHeight="1">
      <c r="K151" s="24"/>
    </row>
    <row r="152" ht="15.75" customHeight="1">
      <c r="K152" s="24"/>
    </row>
    <row r="153" ht="15.75" customHeight="1">
      <c r="K153" s="24"/>
    </row>
    <row r="154" ht="15.75" customHeight="1">
      <c r="K154" s="24"/>
    </row>
    <row r="155" ht="15.75" customHeight="1">
      <c r="K155" s="24"/>
    </row>
    <row r="156" ht="15.75" customHeight="1">
      <c r="K156" s="24"/>
    </row>
    <row r="157" ht="15.75" customHeight="1">
      <c r="K157" s="24"/>
    </row>
    <row r="158" ht="15.75" customHeight="1">
      <c r="K158" s="24"/>
    </row>
    <row r="159" ht="15.75" customHeight="1">
      <c r="K159" s="24"/>
    </row>
    <row r="160" ht="15.75" customHeight="1">
      <c r="K160" s="24"/>
    </row>
    <row r="161" ht="15.75" customHeight="1">
      <c r="K161" s="24"/>
    </row>
    <row r="162" ht="15.75" customHeight="1">
      <c r="K162" s="24"/>
    </row>
    <row r="163" ht="15.75" customHeight="1">
      <c r="K163" s="24"/>
    </row>
    <row r="164" ht="15.75" customHeight="1">
      <c r="K164" s="24"/>
    </row>
    <row r="165" ht="15.75" customHeight="1">
      <c r="K165" s="24"/>
    </row>
    <row r="166" ht="15.75" customHeight="1">
      <c r="K166" s="24"/>
    </row>
    <row r="167" ht="15.75" customHeight="1">
      <c r="K167" s="24"/>
    </row>
    <row r="168" ht="15.75" customHeight="1">
      <c r="K168" s="24"/>
    </row>
    <row r="169" ht="15.75" customHeight="1">
      <c r="K169" s="24"/>
    </row>
    <row r="170" ht="15.75" customHeight="1">
      <c r="K170" s="24"/>
    </row>
    <row r="171" ht="15.75" customHeight="1">
      <c r="K171" s="24"/>
    </row>
    <row r="172" ht="15.75" customHeight="1">
      <c r="K172" s="24"/>
    </row>
    <row r="173" ht="15.75" customHeight="1">
      <c r="K173" s="24"/>
    </row>
    <row r="174" ht="15.75" customHeight="1">
      <c r="K174" s="24"/>
    </row>
    <row r="175" ht="15.75" customHeight="1">
      <c r="K175" s="24"/>
    </row>
    <row r="176" ht="15.75" customHeight="1">
      <c r="K176" s="24"/>
    </row>
    <row r="177" ht="15.75" customHeight="1">
      <c r="K177" s="24"/>
    </row>
    <row r="178" ht="15.75" customHeight="1">
      <c r="K178" s="24"/>
    </row>
    <row r="179" ht="15.75" customHeight="1">
      <c r="K179" s="24"/>
    </row>
    <row r="180" ht="15.75" customHeight="1">
      <c r="K180" s="24"/>
    </row>
    <row r="181" ht="15.75" customHeight="1">
      <c r="K181" s="24"/>
    </row>
    <row r="182" ht="15.75" customHeight="1">
      <c r="K182" s="24"/>
    </row>
    <row r="183" ht="15.75" customHeight="1">
      <c r="K183" s="24"/>
    </row>
    <row r="184" ht="15.75" customHeight="1">
      <c r="K184" s="24"/>
    </row>
    <row r="185" ht="15.75" customHeight="1">
      <c r="K185" s="24"/>
    </row>
    <row r="186" ht="15.75" customHeight="1">
      <c r="K186" s="24"/>
    </row>
    <row r="187" ht="15.75" customHeight="1">
      <c r="K187" s="24"/>
    </row>
    <row r="188" ht="15.75" customHeight="1">
      <c r="K188" s="24"/>
    </row>
    <row r="189" ht="15.75" customHeight="1">
      <c r="K189" s="24"/>
    </row>
    <row r="190" ht="15.75" customHeight="1">
      <c r="K190" s="24"/>
    </row>
    <row r="191" ht="15.75" customHeight="1">
      <c r="K191" s="24"/>
    </row>
    <row r="192" ht="15.75" customHeight="1">
      <c r="K192" s="24"/>
    </row>
    <row r="193" ht="15.75" customHeight="1">
      <c r="K193" s="24"/>
    </row>
    <row r="194" ht="15.75" customHeight="1">
      <c r="K194" s="24"/>
    </row>
    <row r="195" ht="15.75" customHeight="1">
      <c r="K195" s="24"/>
    </row>
    <row r="196" ht="15.75" customHeight="1">
      <c r="K196" s="24"/>
    </row>
    <row r="197" ht="15.75" customHeight="1">
      <c r="K197" s="24"/>
    </row>
    <row r="198" ht="15.75" customHeight="1">
      <c r="K198" s="24"/>
    </row>
    <row r="199" ht="15.75" customHeight="1">
      <c r="K199" s="24"/>
    </row>
    <row r="200" ht="15.75" customHeight="1">
      <c r="K200" s="24"/>
    </row>
    <row r="201" ht="15.75" customHeight="1">
      <c r="K201" s="24"/>
    </row>
    <row r="202" ht="15.75" customHeight="1">
      <c r="K202" s="24"/>
    </row>
    <row r="203" ht="15.75" customHeight="1">
      <c r="K203" s="24"/>
    </row>
    <row r="204" ht="15.75" customHeight="1">
      <c r="K204" s="24"/>
    </row>
    <row r="205" ht="15.75" customHeight="1">
      <c r="K205" s="24"/>
    </row>
    <row r="206" ht="15.75" customHeight="1">
      <c r="K206" s="24"/>
    </row>
    <row r="207" ht="15.75" customHeight="1">
      <c r="K207" s="24"/>
    </row>
    <row r="208" ht="15.75" customHeight="1">
      <c r="K208" s="24"/>
    </row>
    <row r="209" ht="15.75" customHeight="1">
      <c r="K209" s="24"/>
    </row>
    <row r="210" ht="15.75" customHeight="1">
      <c r="K210" s="24"/>
    </row>
    <row r="211" ht="15.75" customHeight="1">
      <c r="K211" s="24"/>
    </row>
    <row r="212" ht="15.75" customHeight="1">
      <c r="K212" s="24"/>
    </row>
    <row r="213" ht="15.75" customHeight="1">
      <c r="K213" s="24"/>
    </row>
    <row r="214" ht="15.75" customHeight="1">
      <c r="K214" s="24"/>
    </row>
    <row r="215" ht="15.75" customHeight="1">
      <c r="K215" s="24"/>
    </row>
    <row r="216" ht="15.75" customHeight="1">
      <c r="K216" s="24"/>
    </row>
    <row r="217" ht="15.75" customHeight="1">
      <c r="K217" s="24"/>
    </row>
    <row r="218" ht="15.75" customHeight="1">
      <c r="K218" s="24"/>
    </row>
    <row r="219" ht="15.75" customHeight="1">
      <c r="K219" s="24"/>
    </row>
    <row r="220" ht="15.75" customHeight="1">
      <c r="K220" s="24"/>
    </row>
    <row r="221" ht="15.75" customHeight="1">
      <c r="K221" s="24"/>
    </row>
    <row r="222" ht="15.75" customHeight="1">
      <c r="K222" s="24"/>
    </row>
    <row r="223" ht="15.75" customHeight="1">
      <c r="K223" s="24"/>
    </row>
    <row r="224" ht="15.75" customHeight="1">
      <c r="K224" s="24"/>
    </row>
    <row r="225" ht="15.75" customHeight="1">
      <c r="K225" s="24"/>
    </row>
    <row r="226" ht="15.75" customHeight="1">
      <c r="K226" s="24"/>
    </row>
    <row r="227" ht="15.75" customHeight="1">
      <c r="K227" s="24"/>
    </row>
    <row r="228" ht="15.75" customHeight="1">
      <c r="K228" s="24"/>
    </row>
    <row r="229" ht="15.75" customHeight="1">
      <c r="K229" s="24"/>
    </row>
    <row r="230" ht="15.75" customHeight="1">
      <c r="K230" s="24"/>
    </row>
    <row r="231" ht="15.75" customHeight="1">
      <c r="K231" s="24"/>
    </row>
    <row r="232" ht="15.75" customHeight="1">
      <c r="K232" s="24"/>
    </row>
    <row r="233" ht="15.75" customHeight="1">
      <c r="K233" s="24"/>
    </row>
    <row r="234" ht="15.75" customHeight="1">
      <c r="K234" s="24"/>
    </row>
    <row r="235" ht="15.75" customHeight="1">
      <c r="K235" s="24"/>
    </row>
    <row r="236" ht="15.75" customHeight="1">
      <c r="K236" s="24"/>
    </row>
    <row r="237" ht="15.75" customHeight="1">
      <c r="K237" s="24"/>
    </row>
    <row r="238" ht="15.75" customHeight="1">
      <c r="K238" s="24"/>
    </row>
    <row r="239" ht="15.75" customHeight="1">
      <c r="K239" s="24"/>
    </row>
    <row r="240" ht="15.75" customHeight="1">
      <c r="K240" s="24"/>
    </row>
    <row r="241" ht="15.75" customHeight="1">
      <c r="K241" s="24"/>
    </row>
    <row r="242" ht="15.75" customHeight="1">
      <c r="K242" s="24"/>
    </row>
    <row r="243" ht="15.75" customHeight="1">
      <c r="K243" s="24"/>
    </row>
    <row r="244" ht="15.75" customHeight="1">
      <c r="K244" s="24"/>
    </row>
    <row r="245" ht="15.75" customHeight="1">
      <c r="K245" s="24"/>
    </row>
    <row r="246" ht="15.75" customHeight="1">
      <c r="K246" s="24"/>
    </row>
    <row r="247" ht="15.75" customHeight="1">
      <c r="K247" s="24"/>
    </row>
    <row r="248" ht="15.75" customHeight="1">
      <c r="K248" s="24"/>
    </row>
    <row r="249" ht="15.75" customHeight="1">
      <c r="K249" s="24"/>
    </row>
    <row r="250" ht="15.75" customHeight="1">
      <c r="K250" s="24"/>
    </row>
    <row r="251" ht="15.75" customHeight="1">
      <c r="K251" s="24"/>
    </row>
    <row r="252" ht="15.75" customHeight="1">
      <c r="K252" s="24"/>
    </row>
    <row r="253" ht="15.75" customHeight="1">
      <c r="K253" s="24"/>
    </row>
    <row r="254" ht="15.75" customHeight="1">
      <c r="K254" s="24"/>
    </row>
    <row r="255" ht="15.75" customHeight="1">
      <c r="K255" s="24"/>
    </row>
    <row r="256" ht="15.75" customHeight="1">
      <c r="K256" s="24"/>
    </row>
    <row r="257" ht="15.75" customHeight="1">
      <c r="K257" s="24"/>
    </row>
    <row r="258" ht="15.75" customHeight="1">
      <c r="K258" s="24"/>
    </row>
    <row r="259" ht="15.75" customHeight="1">
      <c r="K259" s="24"/>
    </row>
    <row r="260" ht="15.75" customHeight="1">
      <c r="K260" s="24"/>
    </row>
    <row r="261" ht="15.75" customHeight="1">
      <c r="K261" s="24"/>
    </row>
    <row r="262" ht="15.75" customHeight="1">
      <c r="K262" s="24"/>
    </row>
    <row r="263" ht="15.75" customHeight="1">
      <c r="K263" s="24"/>
    </row>
    <row r="264" ht="15.75" customHeight="1">
      <c r="K264" s="24"/>
    </row>
    <row r="265" ht="15.75" customHeight="1">
      <c r="K265" s="24"/>
    </row>
    <row r="266" ht="15.75" customHeight="1">
      <c r="K266" s="24"/>
    </row>
    <row r="267" ht="15.75" customHeight="1">
      <c r="K267" s="24"/>
    </row>
    <row r="268" ht="15.75" customHeight="1">
      <c r="K268" s="24"/>
    </row>
    <row r="269" ht="15.75" customHeight="1">
      <c r="K269" s="24"/>
    </row>
    <row r="270" ht="15.75" customHeight="1">
      <c r="K270" s="24"/>
    </row>
    <row r="271" ht="15.75" customHeight="1">
      <c r="K271" s="24"/>
    </row>
    <row r="272" ht="15.75" customHeight="1">
      <c r="K272" s="24"/>
    </row>
    <row r="273" ht="15.75" customHeight="1">
      <c r="K273" s="24"/>
    </row>
    <row r="274" ht="15.75" customHeight="1">
      <c r="K274" s="24"/>
    </row>
    <row r="275" ht="15.75" customHeight="1">
      <c r="K275" s="24"/>
    </row>
    <row r="276" ht="15.75" customHeight="1">
      <c r="K276" s="24"/>
    </row>
    <row r="277" ht="15.75" customHeight="1">
      <c r="K277" s="24"/>
    </row>
    <row r="278" ht="15.75" customHeight="1">
      <c r="K278" s="24"/>
    </row>
    <row r="279" ht="15.75" customHeight="1">
      <c r="K279" s="24"/>
    </row>
    <row r="280" ht="15.75" customHeight="1">
      <c r="K280" s="24"/>
    </row>
    <row r="281" ht="15.75" customHeight="1">
      <c r="K281" s="24"/>
    </row>
    <row r="282" ht="15.75" customHeight="1">
      <c r="K282" s="24"/>
    </row>
    <row r="283" ht="15.75" customHeight="1">
      <c r="K283" s="24"/>
    </row>
    <row r="284" ht="15.75" customHeight="1">
      <c r="K284" s="24"/>
    </row>
    <row r="285" ht="15.75" customHeight="1">
      <c r="K285" s="24"/>
    </row>
    <row r="286" ht="15.75" customHeight="1">
      <c r="K286" s="24"/>
    </row>
    <row r="287" ht="15.75" customHeight="1">
      <c r="K287" s="24"/>
    </row>
    <row r="288" ht="15.75" customHeight="1">
      <c r="K288" s="24"/>
    </row>
    <row r="289" ht="15.75" customHeight="1">
      <c r="K289" s="24"/>
    </row>
    <row r="290" ht="15.75" customHeight="1">
      <c r="K290" s="24"/>
    </row>
    <row r="291" ht="15.75" customHeight="1">
      <c r="K291" s="24"/>
    </row>
    <row r="292" ht="15.75" customHeight="1">
      <c r="K292" s="24"/>
    </row>
    <row r="293" ht="15.75" customHeight="1">
      <c r="K293" s="24"/>
    </row>
    <row r="294" ht="15.75" customHeight="1">
      <c r="K294" s="24"/>
    </row>
    <row r="295" ht="15.75" customHeight="1">
      <c r="K295" s="24"/>
    </row>
    <row r="296" ht="15.75" customHeight="1">
      <c r="K296" s="24"/>
    </row>
    <row r="297" ht="15.75" customHeight="1">
      <c r="K297" s="24"/>
    </row>
    <row r="298" ht="15.75" customHeight="1">
      <c r="K298" s="24"/>
    </row>
    <row r="299" ht="15.75" customHeight="1">
      <c r="K299" s="24"/>
    </row>
    <row r="300" ht="15.75" customHeight="1">
      <c r="K300" s="24"/>
    </row>
    <row r="301" ht="15.75" customHeight="1">
      <c r="K301" s="24"/>
    </row>
    <row r="302" ht="15.75" customHeight="1">
      <c r="K302" s="24"/>
    </row>
    <row r="303" ht="15.75" customHeight="1">
      <c r="K303" s="24"/>
    </row>
    <row r="304" ht="15.75" customHeight="1">
      <c r="K304" s="24"/>
    </row>
    <row r="305" ht="15.75" customHeight="1">
      <c r="K305" s="24"/>
    </row>
    <row r="306" ht="15.75" customHeight="1">
      <c r="K306" s="24"/>
    </row>
    <row r="307" ht="15.75" customHeight="1">
      <c r="K307" s="24"/>
    </row>
    <row r="308" ht="15.75" customHeight="1">
      <c r="K308" s="24"/>
    </row>
    <row r="309" ht="15.75" customHeight="1">
      <c r="K309" s="24"/>
    </row>
    <row r="310" ht="15.75" customHeight="1">
      <c r="K310" s="24"/>
    </row>
    <row r="311" ht="15.75" customHeight="1">
      <c r="K311" s="24"/>
    </row>
    <row r="312" ht="15.75" customHeight="1">
      <c r="K312" s="24"/>
    </row>
    <row r="313" ht="15.75" customHeight="1">
      <c r="K313" s="24"/>
    </row>
    <row r="314" ht="15.75" customHeight="1">
      <c r="K314" s="24"/>
    </row>
    <row r="315" ht="15.75" customHeight="1">
      <c r="K315" s="24"/>
    </row>
    <row r="316" ht="15.75" customHeight="1">
      <c r="K316" s="24"/>
    </row>
    <row r="317" ht="15.75" customHeight="1">
      <c r="K317" s="24"/>
    </row>
    <row r="318" ht="15.75" customHeight="1">
      <c r="K318" s="24"/>
    </row>
    <row r="319" ht="15.75" customHeight="1">
      <c r="K319" s="24"/>
    </row>
    <row r="320" ht="15.75" customHeight="1">
      <c r="K320" s="24"/>
    </row>
    <row r="321" ht="15.75" customHeight="1">
      <c r="K321" s="24"/>
    </row>
    <row r="322" ht="15.75" customHeight="1">
      <c r="K322" s="24"/>
    </row>
    <row r="323" ht="15.75" customHeight="1">
      <c r="K323" s="24"/>
    </row>
    <row r="324" ht="15.75" customHeight="1">
      <c r="K324" s="24"/>
    </row>
    <row r="325" ht="15.75" customHeight="1">
      <c r="K325" s="24"/>
    </row>
    <row r="326" ht="15.75" customHeight="1">
      <c r="K326" s="24"/>
    </row>
    <row r="327" ht="15.75" customHeight="1">
      <c r="K327" s="24"/>
    </row>
    <row r="328" ht="15.75" customHeight="1">
      <c r="K328" s="24"/>
    </row>
    <row r="329" ht="15.75" customHeight="1">
      <c r="K329" s="24"/>
    </row>
    <row r="330" ht="15.75" customHeight="1">
      <c r="K330" s="24"/>
    </row>
    <row r="331" ht="15.75" customHeight="1">
      <c r="K331" s="24"/>
    </row>
    <row r="332" ht="15.75" customHeight="1">
      <c r="K332" s="24"/>
    </row>
    <row r="333" ht="15.75" customHeight="1">
      <c r="K333" s="24"/>
    </row>
    <row r="334" ht="15.75" customHeight="1">
      <c r="K334" s="24"/>
    </row>
    <row r="335" ht="15.75" customHeight="1">
      <c r="K335" s="24"/>
    </row>
    <row r="336" ht="15.75" customHeight="1">
      <c r="K336" s="24"/>
    </row>
    <row r="337" ht="15.75" customHeight="1">
      <c r="K337" s="24"/>
    </row>
    <row r="338" ht="15.75" customHeight="1">
      <c r="K338" s="24"/>
    </row>
    <row r="339" ht="15.75" customHeight="1">
      <c r="K339" s="24"/>
    </row>
    <row r="340" ht="15.75" customHeight="1">
      <c r="K340" s="24"/>
    </row>
    <row r="341" ht="15.75" customHeight="1">
      <c r="K341" s="24"/>
    </row>
    <row r="342" ht="15.75" customHeight="1">
      <c r="K342" s="24"/>
    </row>
    <row r="343" ht="15.75" customHeight="1">
      <c r="K343" s="24"/>
    </row>
    <row r="344" ht="15.75" customHeight="1">
      <c r="K344" s="24"/>
    </row>
    <row r="345" ht="15.75" customHeight="1">
      <c r="K345" s="24"/>
    </row>
    <row r="346" ht="15.75" customHeight="1">
      <c r="K346" s="24"/>
    </row>
    <row r="347" ht="15.75" customHeight="1">
      <c r="K347" s="24"/>
    </row>
    <row r="348" ht="15.75" customHeight="1">
      <c r="K348" s="24"/>
    </row>
    <row r="349" ht="15.75" customHeight="1">
      <c r="K349" s="24"/>
    </row>
    <row r="350" ht="15.75" customHeight="1">
      <c r="K350" s="24"/>
    </row>
    <row r="351" ht="15.75" customHeight="1">
      <c r="K351" s="24"/>
    </row>
    <row r="352" ht="15.75" customHeight="1">
      <c r="K352" s="24"/>
    </row>
    <row r="353" ht="15.75" customHeight="1">
      <c r="K353" s="24"/>
    </row>
    <row r="354" ht="15.75" customHeight="1">
      <c r="K354" s="24"/>
    </row>
    <row r="355" ht="15.75" customHeight="1">
      <c r="K355" s="24"/>
    </row>
    <row r="356" ht="15.75" customHeight="1">
      <c r="K356" s="24"/>
    </row>
    <row r="357" ht="15.75" customHeight="1">
      <c r="K357" s="24"/>
    </row>
    <row r="358" ht="15.75" customHeight="1">
      <c r="K358" s="24"/>
    </row>
    <row r="359" ht="15.75" customHeight="1">
      <c r="K359" s="24"/>
    </row>
    <row r="360" ht="15.75" customHeight="1">
      <c r="K360" s="24"/>
    </row>
    <row r="361" ht="15.75" customHeight="1">
      <c r="K361" s="24"/>
    </row>
    <row r="362" ht="15.75" customHeight="1">
      <c r="K362" s="24"/>
    </row>
    <row r="363" ht="15.75" customHeight="1">
      <c r="K363" s="24"/>
    </row>
    <row r="364" ht="15.75" customHeight="1">
      <c r="K364" s="24"/>
    </row>
    <row r="365" ht="15.75" customHeight="1">
      <c r="K365" s="24"/>
    </row>
    <row r="366" ht="15.75" customHeight="1">
      <c r="K366" s="24"/>
    </row>
    <row r="367" ht="15.75" customHeight="1">
      <c r="K367" s="24"/>
    </row>
    <row r="368" ht="15.75" customHeight="1">
      <c r="K368" s="24"/>
    </row>
    <row r="369" ht="15.75" customHeight="1">
      <c r="K369" s="24"/>
    </row>
    <row r="370" ht="15.75" customHeight="1">
      <c r="K370" s="24"/>
    </row>
    <row r="371" ht="15.75" customHeight="1">
      <c r="K371" s="24"/>
    </row>
    <row r="372" ht="15.75" customHeight="1">
      <c r="K372" s="24"/>
    </row>
    <row r="373" ht="15.75" customHeight="1">
      <c r="K373" s="24"/>
    </row>
    <row r="374" ht="15.75" customHeight="1">
      <c r="K374" s="24"/>
    </row>
    <row r="375" ht="15.75" customHeight="1">
      <c r="K375" s="24"/>
    </row>
    <row r="376" ht="15.75" customHeight="1">
      <c r="K376" s="24"/>
    </row>
    <row r="377" ht="15.75" customHeight="1">
      <c r="K377" s="24"/>
    </row>
    <row r="378" ht="15.75" customHeight="1">
      <c r="K378" s="24"/>
    </row>
    <row r="379" ht="15.75" customHeight="1">
      <c r="K379" s="24"/>
    </row>
    <row r="380" ht="15.75" customHeight="1">
      <c r="K380" s="24"/>
    </row>
    <row r="381" ht="15.75" customHeight="1">
      <c r="K381" s="24"/>
    </row>
    <row r="382" ht="15.75" customHeight="1">
      <c r="K382" s="24"/>
    </row>
    <row r="383" ht="15.75" customHeight="1">
      <c r="K383" s="24"/>
    </row>
    <row r="384" ht="15.75" customHeight="1">
      <c r="K384" s="24"/>
    </row>
    <row r="385" ht="15.75" customHeight="1">
      <c r="K385" s="24"/>
    </row>
    <row r="386" ht="15.75" customHeight="1">
      <c r="K386" s="24"/>
    </row>
    <row r="387" ht="15.75" customHeight="1">
      <c r="K387" s="24"/>
    </row>
    <row r="388" ht="15.75" customHeight="1">
      <c r="K388" s="24"/>
    </row>
    <row r="389" ht="15.75" customHeight="1">
      <c r="K389" s="24"/>
    </row>
    <row r="390" ht="15.75" customHeight="1">
      <c r="K390" s="24"/>
    </row>
    <row r="391" ht="15.75" customHeight="1">
      <c r="K391" s="24"/>
    </row>
    <row r="392" ht="15.75" customHeight="1">
      <c r="K392" s="24"/>
    </row>
    <row r="393" ht="15.75" customHeight="1">
      <c r="K393" s="24"/>
    </row>
    <row r="394" ht="15.75" customHeight="1">
      <c r="K394" s="24"/>
    </row>
    <row r="395" ht="15.75" customHeight="1">
      <c r="K395" s="24"/>
    </row>
    <row r="396" ht="15.75" customHeight="1">
      <c r="K396" s="24"/>
    </row>
    <row r="397" ht="15.75" customHeight="1">
      <c r="K397" s="24"/>
    </row>
    <row r="398" ht="15.75" customHeight="1">
      <c r="K398" s="24"/>
    </row>
    <row r="399" ht="15.75" customHeight="1">
      <c r="K399" s="24"/>
    </row>
    <row r="400" ht="15.75" customHeight="1">
      <c r="K400" s="24"/>
    </row>
    <row r="401" ht="15.75" customHeight="1">
      <c r="K401" s="24"/>
    </row>
    <row r="402" ht="15.75" customHeight="1">
      <c r="K402" s="24"/>
    </row>
    <row r="403" ht="15.75" customHeight="1">
      <c r="K403" s="24"/>
    </row>
    <row r="404" ht="15.75" customHeight="1">
      <c r="K404" s="24"/>
    </row>
    <row r="405" ht="15.75" customHeight="1">
      <c r="K405" s="24"/>
    </row>
    <row r="406" ht="15.75" customHeight="1">
      <c r="K406" s="24"/>
    </row>
    <row r="407" ht="15.75" customHeight="1">
      <c r="K407" s="24"/>
    </row>
    <row r="408" ht="15.75" customHeight="1">
      <c r="K408" s="24"/>
    </row>
    <row r="409" ht="15.75" customHeight="1">
      <c r="K409" s="24"/>
    </row>
    <row r="410" ht="15.75" customHeight="1">
      <c r="K410" s="24"/>
    </row>
    <row r="411" ht="15.75" customHeight="1">
      <c r="K411" s="24"/>
    </row>
    <row r="412" ht="15.75" customHeight="1">
      <c r="K412" s="24"/>
    </row>
    <row r="413" ht="15.75" customHeight="1">
      <c r="K413" s="24"/>
    </row>
    <row r="414" ht="15.75" customHeight="1">
      <c r="K414" s="24"/>
    </row>
    <row r="415" ht="15.75" customHeight="1">
      <c r="K415" s="24"/>
    </row>
    <row r="416" ht="15.75" customHeight="1">
      <c r="K416" s="24"/>
    </row>
    <row r="417" ht="15.75" customHeight="1">
      <c r="K417" s="24"/>
    </row>
    <row r="418" ht="15.75" customHeight="1">
      <c r="K418" s="24"/>
    </row>
    <row r="419" ht="15.75" customHeight="1">
      <c r="K419" s="24"/>
    </row>
    <row r="420" ht="15.75" customHeight="1">
      <c r="K420" s="24"/>
    </row>
    <row r="421" ht="15.75" customHeight="1">
      <c r="K421" s="24"/>
    </row>
    <row r="422" ht="15.75" customHeight="1">
      <c r="K422" s="24"/>
    </row>
    <row r="423" ht="15.75" customHeight="1">
      <c r="K423" s="24"/>
    </row>
    <row r="424" ht="15.75" customHeight="1">
      <c r="K424" s="24"/>
    </row>
    <row r="425" ht="15.75" customHeight="1">
      <c r="K425" s="24"/>
    </row>
    <row r="426" ht="15.75" customHeight="1">
      <c r="K426" s="24"/>
    </row>
    <row r="427" ht="15.75" customHeight="1">
      <c r="K427" s="24"/>
    </row>
    <row r="428" ht="15.75" customHeight="1">
      <c r="K428" s="24"/>
    </row>
    <row r="429" ht="15.75" customHeight="1">
      <c r="K429" s="24"/>
    </row>
    <row r="430" ht="15.75" customHeight="1">
      <c r="K430" s="24"/>
    </row>
    <row r="431" ht="15.75" customHeight="1">
      <c r="K431" s="24"/>
    </row>
    <row r="432" ht="15.75" customHeight="1">
      <c r="K432" s="24"/>
    </row>
    <row r="433" ht="15.75" customHeight="1">
      <c r="K433" s="24"/>
    </row>
    <row r="434" ht="15.75" customHeight="1">
      <c r="K434" s="24"/>
    </row>
    <row r="435" ht="15.75" customHeight="1">
      <c r="K435" s="24"/>
    </row>
    <row r="436" ht="15.75" customHeight="1">
      <c r="K436" s="24"/>
    </row>
    <row r="437" ht="15.75" customHeight="1">
      <c r="K437" s="24"/>
    </row>
    <row r="438" ht="15.75" customHeight="1">
      <c r="K438" s="24"/>
    </row>
    <row r="439" ht="15.75" customHeight="1">
      <c r="K439" s="24"/>
    </row>
    <row r="440" ht="15.75" customHeight="1">
      <c r="K440" s="24"/>
    </row>
    <row r="441" ht="15.75" customHeight="1">
      <c r="K441" s="24"/>
    </row>
    <row r="442" ht="15.75" customHeight="1">
      <c r="K442" s="24"/>
    </row>
    <row r="443" ht="15.75" customHeight="1">
      <c r="K443" s="24"/>
    </row>
    <row r="444" ht="15.75" customHeight="1">
      <c r="K444" s="24"/>
    </row>
    <row r="445" ht="15.75" customHeight="1">
      <c r="K445" s="24"/>
    </row>
    <row r="446" ht="15.75" customHeight="1">
      <c r="K446" s="24"/>
    </row>
    <row r="447" ht="15.75" customHeight="1">
      <c r="K447" s="24"/>
    </row>
    <row r="448" ht="15.75" customHeight="1">
      <c r="K448" s="24"/>
    </row>
    <row r="449" ht="15.75" customHeight="1">
      <c r="K449" s="24"/>
    </row>
    <row r="450" ht="15.75" customHeight="1">
      <c r="K450" s="24"/>
    </row>
    <row r="451" ht="15.75" customHeight="1">
      <c r="K451" s="24"/>
    </row>
    <row r="452" ht="15.75" customHeight="1">
      <c r="K452" s="24"/>
    </row>
    <row r="453" ht="15.75" customHeight="1">
      <c r="K453" s="24"/>
    </row>
    <row r="454" ht="15.75" customHeight="1">
      <c r="K454" s="24"/>
    </row>
    <row r="455" ht="15.75" customHeight="1">
      <c r="K455" s="24"/>
    </row>
    <row r="456" ht="15.75" customHeight="1">
      <c r="K456" s="24"/>
    </row>
    <row r="457" ht="15.75" customHeight="1">
      <c r="K457" s="24"/>
    </row>
    <row r="458" ht="15.75" customHeight="1">
      <c r="K458" s="24"/>
    </row>
    <row r="459" ht="15.75" customHeight="1">
      <c r="K459" s="24"/>
    </row>
    <row r="460" ht="15.75" customHeight="1">
      <c r="K460" s="24"/>
    </row>
    <row r="461" ht="15.75" customHeight="1">
      <c r="K461" s="24"/>
    </row>
    <row r="462" ht="15.75" customHeight="1">
      <c r="K462" s="24"/>
    </row>
    <row r="463" ht="15.75" customHeight="1">
      <c r="K463" s="24"/>
    </row>
    <row r="464" ht="15.75" customHeight="1">
      <c r="K464" s="24"/>
    </row>
    <row r="465" ht="15.75" customHeight="1">
      <c r="K465" s="24"/>
    </row>
    <row r="466" ht="15.75" customHeight="1">
      <c r="K466" s="24"/>
    </row>
    <row r="467" ht="15.75" customHeight="1">
      <c r="K467" s="24"/>
    </row>
    <row r="468" ht="15.75" customHeight="1">
      <c r="K468" s="24"/>
    </row>
    <row r="469" ht="15.75" customHeight="1">
      <c r="K469" s="24"/>
    </row>
    <row r="470" ht="15.75" customHeight="1">
      <c r="K470" s="24"/>
    </row>
    <row r="471" ht="15.75" customHeight="1">
      <c r="K471" s="24"/>
    </row>
    <row r="472" ht="15.75" customHeight="1">
      <c r="K472" s="24"/>
    </row>
    <row r="473" ht="15.75" customHeight="1">
      <c r="K473" s="24"/>
    </row>
    <row r="474" ht="15.75" customHeight="1">
      <c r="K474" s="24"/>
    </row>
    <row r="475" ht="15.75" customHeight="1">
      <c r="K475" s="24"/>
    </row>
    <row r="476" ht="15.75" customHeight="1">
      <c r="K476" s="24"/>
    </row>
    <row r="477" ht="15.75" customHeight="1">
      <c r="K477" s="24"/>
    </row>
    <row r="478" ht="15.75" customHeight="1">
      <c r="K478" s="24"/>
    </row>
    <row r="479" ht="15.75" customHeight="1">
      <c r="K479" s="24"/>
    </row>
    <row r="480" ht="15.75" customHeight="1">
      <c r="K480" s="24"/>
    </row>
    <row r="481" ht="15.75" customHeight="1">
      <c r="K481" s="24"/>
    </row>
    <row r="482" ht="15.75" customHeight="1">
      <c r="K482" s="24"/>
    </row>
    <row r="483" ht="15.75" customHeight="1">
      <c r="K483" s="24"/>
    </row>
    <row r="484" ht="15.75" customHeight="1">
      <c r="K484" s="24"/>
    </row>
    <row r="485" ht="15.75" customHeight="1">
      <c r="K485" s="24"/>
    </row>
    <row r="486" ht="15.75" customHeight="1">
      <c r="K486" s="24"/>
    </row>
    <row r="487" ht="15.75" customHeight="1">
      <c r="K487" s="24"/>
    </row>
    <row r="488" ht="15.75" customHeight="1">
      <c r="K488" s="24"/>
    </row>
    <row r="489" ht="15.75" customHeight="1">
      <c r="K489" s="24"/>
    </row>
    <row r="490" ht="15.75" customHeight="1">
      <c r="K490" s="24"/>
    </row>
    <row r="491" ht="15.75" customHeight="1">
      <c r="K491" s="24"/>
    </row>
    <row r="492" ht="15.75" customHeight="1">
      <c r="K492" s="24"/>
    </row>
    <row r="493" ht="15.75" customHeight="1">
      <c r="K493" s="24"/>
    </row>
    <row r="494" ht="15.75" customHeight="1">
      <c r="K494" s="24"/>
    </row>
    <row r="495" ht="15.75" customHeight="1">
      <c r="K495" s="24"/>
    </row>
    <row r="496" ht="15.75" customHeight="1">
      <c r="K496" s="24"/>
    </row>
    <row r="497" ht="15.75" customHeight="1">
      <c r="K497" s="24"/>
    </row>
    <row r="498" ht="15.75" customHeight="1">
      <c r="K498" s="24"/>
    </row>
    <row r="499" ht="15.75" customHeight="1">
      <c r="K499" s="24"/>
    </row>
    <row r="500" ht="15.75" customHeight="1">
      <c r="K500" s="24"/>
    </row>
    <row r="501" ht="15.75" customHeight="1">
      <c r="K501" s="24"/>
    </row>
    <row r="502" ht="15.75" customHeight="1">
      <c r="K502" s="24"/>
    </row>
    <row r="503" ht="15.75" customHeight="1">
      <c r="K503" s="24"/>
    </row>
    <row r="504" ht="15.75" customHeight="1">
      <c r="K504" s="24"/>
    </row>
    <row r="505" ht="15.75" customHeight="1">
      <c r="K505" s="24"/>
    </row>
    <row r="506" ht="15.75" customHeight="1">
      <c r="K506" s="24"/>
    </row>
    <row r="507" ht="15.75" customHeight="1">
      <c r="K507" s="24"/>
    </row>
    <row r="508" ht="15.75" customHeight="1">
      <c r="K508" s="24"/>
    </row>
    <row r="509" ht="15.75" customHeight="1">
      <c r="K509" s="24"/>
    </row>
    <row r="510" ht="15.75" customHeight="1">
      <c r="K510" s="24"/>
    </row>
    <row r="511" ht="15.75" customHeight="1">
      <c r="K511" s="24"/>
    </row>
    <row r="512" ht="15.75" customHeight="1">
      <c r="K512" s="24"/>
    </row>
    <row r="513" ht="15.75" customHeight="1">
      <c r="K513" s="24"/>
    </row>
    <row r="514" ht="15.75" customHeight="1">
      <c r="K514" s="24"/>
    </row>
    <row r="515" ht="15.75" customHeight="1">
      <c r="K515" s="24"/>
    </row>
    <row r="516" ht="15.75" customHeight="1">
      <c r="K516" s="24"/>
    </row>
    <row r="517" ht="15.75" customHeight="1">
      <c r="K517" s="24"/>
    </row>
    <row r="518" ht="15.75" customHeight="1">
      <c r="K518" s="24"/>
    </row>
    <row r="519" ht="15.75" customHeight="1">
      <c r="K519" s="24"/>
    </row>
    <row r="520" ht="15.75" customHeight="1">
      <c r="K520" s="24"/>
    </row>
    <row r="521" ht="15.75" customHeight="1">
      <c r="K521" s="24"/>
    </row>
    <row r="522" ht="15.75" customHeight="1">
      <c r="K522" s="24"/>
    </row>
    <row r="523" ht="15.75" customHeight="1">
      <c r="K523" s="24"/>
    </row>
    <row r="524" ht="15.75" customHeight="1">
      <c r="K524" s="24"/>
    </row>
    <row r="525" ht="15.75" customHeight="1">
      <c r="K525" s="24"/>
    </row>
    <row r="526" ht="15.75" customHeight="1">
      <c r="K526" s="24"/>
    </row>
    <row r="527" ht="15.75" customHeight="1">
      <c r="K527" s="24"/>
    </row>
    <row r="528" ht="15.75" customHeight="1">
      <c r="K528" s="24"/>
    </row>
    <row r="529" ht="15.75" customHeight="1">
      <c r="K529" s="24"/>
    </row>
    <row r="530" ht="15.75" customHeight="1">
      <c r="K530" s="24"/>
    </row>
    <row r="531" ht="15.75" customHeight="1">
      <c r="K531" s="24"/>
    </row>
    <row r="532" ht="15.75" customHeight="1">
      <c r="K532" s="24"/>
    </row>
    <row r="533" ht="15.75" customHeight="1">
      <c r="K533" s="24"/>
    </row>
    <row r="534" ht="15.75" customHeight="1">
      <c r="K534" s="24"/>
    </row>
    <row r="535" ht="15.75" customHeight="1">
      <c r="K535" s="24"/>
    </row>
    <row r="536" ht="15.75" customHeight="1">
      <c r="K536" s="24"/>
    </row>
    <row r="537" ht="15.75" customHeight="1">
      <c r="K537" s="24"/>
    </row>
    <row r="538" ht="15.75" customHeight="1">
      <c r="K538" s="24"/>
    </row>
    <row r="539" ht="15.75" customHeight="1">
      <c r="K539" s="24"/>
    </row>
    <row r="540" ht="15.75" customHeight="1">
      <c r="K540" s="24"/>
    </row>
    <row r="541" ht="15.75" customHeight="1">
      <c r="K541" s="24"/>
    </row>
    <row r="542" ht="15.75" customHeight="1">
      <c r="K542" s="24"/>
    </row>
    <row r="543" ht="15.75" customHeight="1">
      <c r="K543" s="24"/>
    </row>
    <row r="544" ht="15.75" customHeight="1">
      <c r="K544" s="24"/>
    </row>
    <row r="545" ht="15.75" customHeight="1">
      <c r="K545" s="24"/>
    </row>
    <row r="546" ht="15.75" customHeight="1">
      <c r="K546" s="24"/>
    </row>
    <row r="547" ht="15.75" customHeight="1">
      <c r="K547" s="24"/>
    </row>
    <row r="548" ht="15.75" customHeight="1">
      <c r="K548" s="24"/>
    </row>
    <row r="549" ht="15.75" customHeight="1">
      <c r="K549" s="24"/>
    </row>
    <row r="550" ht="15.75" customHeight="1">
      <c r="K550" s="24"/>
    </row>
    <row r="551" ht="15.75" customHeight="1">
      <c r="K551" s="24"/>
    </row>
    <row r="552" ht="15.75" customHeight="1">
      <c r="K552" s="24"/>
    </row>
    <row r="553" ht="15.75" customHeight="1">
      <c r="K553" s="24"/>
    </row>
    <row r="554" ht="15.75" customHeight="1">
      <c r="K554" s="24"/>
    </row>
    <row r="555" ht="15.75" customHeight="1">
      <c r="K555" s="24"/>
    </row>
    <row r="556" ht="15.75" customHeight="1">
      <c r="K556" s="24"/>
    </row>
    <row r="557" ht="15.75" customHeight="1">
      <c r="K557" s="24"/>
    </row>
    <row r="558" ht="15.75" customHeight="1">
      <c r="K558" s="24"/>
    </row>
    <row r="559" ht="15.75" customHeight="1">
      <c r="K559" s="24"/>
    </row>
    <row r="560" ht="15.75" customHeight="1">
      <c r="K560" s="24"/>
    </row>
    <row r="561" ht="15.75" customHeight="1">
      <c r="K561" s="24"/>
    </row>
    <row r="562" ht="15.75" customHeight="1">
      <c r="K562" s="24"/>
    </row>
    <row r="563" ht="15.75" customHeight="1">
      <c r="K563" s="24"/>
    </row>
    <row r="564" ht="15.75" customHeight="1">
      <c r="K564" s="24"/>
    </row>
    <row r="565" ht="15.75" customHeight="1">
      <c r="K565" s="24"/>
    </row>
    <row r="566" ht="15.75" customHeight="1">
      <c r="K566" s="24"/>
    </row>
    <row r="567" ht="15.75" customHeight="1">
      <c r="K567" s="24"/>
    </row>
    <row r="568" ht="15.75" customHeight="1">
      <c r="K568" s="24"/>
    </row>
    <row r="569" ht="15.75" customHeight="1">
      <c r="K569" s="24"/>
    </row>
    <row r="570" ht="15.75" customHeight="1">
      <c r="K570" s="24"/>
    </row>
    <row r="571" ht="15.75" customHeight="1">
      <c r="K571" s="24"/>
    </row>
    <row r="572" ht="15.75" customHeight="1">
      <c r="K572" s="24"/>
    </row>
    <row r="573" ht="15.75" customHeight="1">
      <c r="K573" s="24"/>
    </row>
    <row r="574" ht="15.75" customHeight="1">
      <c r="K574" s="24"/>
    </row>
    <row r="575" ht="15.75" customHeight="1">
      <c r="K575" s="24"/>
    </row>
    <row r="576" ht="15.75" customHeight="1">
      <c r="K576" s="24"/>
    </row>
    <row r="577" ht="15.75" customHeight="1">
      <c r="K577" s="24"/>
    </row>
    <row r="578" ht="15.75" customHeight="1">
      <c r="K578" s="24"/>
    </row>
    <row r="579" ht="15.75" customHeight="1">
      <c r="K579" s="24"/>
    </row>
    <row r="580" ht="15.75" customHeight="1">
      <c r="K580" s="24"/>
    </row>
    <row r="581" ht="15.75" customHeight="1">
      <c r="K581" s="24"/>
    </row>
    <row r="582" ht="15.75" customHeight="1">
      <c r="K582" s="24"/>
    </row>
    <row r="583" ht="15.75" customHeight="1">
      <c r="K583" s="24"/>
    </row>
    <row r="584" ht="15.75" customHeight="1">
      <c r="K584" s="24"/>
    </row>
    <row r="585" ht="15.75" customHeight="1">
      <c r="K585" s="24"/>
    </row>
    <row r="586" ht="15.75" customHeight="1">
      <c r="K586" s="24"/>
    </row>
    <row r="587" ht="15.75" customHeight="1">
      <c r="K587" s="24"/>
    </row>
    <row r="588" ht="15.75" customHeight="1">
      <c r="K588" s="24"/>
    </row>
    <row r="589" ht="15.75" customHeight="1">
      <c r="K589" s="24"/>
    </row>
    <row r="590" ht="15.75" customHeight="1">
      <c r="K590" s="24"/>
    </row>
    <row r="591" ht="15.75" customHeight="1">
      <c r="K591" s="24"/>
    </row>
    <row r="592" ht="15.75" customHeight="1">
      <c r="K592" s="24"/>
    </row>
    <row r="593" ht="15.75" customHeight="1">
      <c r="K593" s="24"/>
    </row>
    <row r="594" ht="15.75" customHeight="1">
      <c r="K594" s="24"/>
    </row>
    <row r="595" ht="15.75" customHeight="1">
      <c r="K595" s="24"/>
    </row>
    <row r="596" ht="15.75" customHeight="1">
      <c r="K596" s="24"/>
    </row>
    <row r="597" ht="15.75" customHeight="1">
      <c r="K597" s="24"/>
    </row>
    <row r="598" ht="15.75" customHeight="1">
      <c r="K598" s="24"/>
    </row>
    <row r="599" ht="15.75" customHeight="1">
      <c r="K599" s="24"/>
    </row>
    <row r="600" ht="15.75" customHeight="1">
      <c r="K600" s="24"/>
    </row>
    <row r="601" ht="15.75" customHeight="1">
      <c r="K601" s="24"/>
    </row>
    <row r="602" ht="15.75" customHeight="1">
      <c r="K602" s="24"/>
    </row>
    <row r="603" ht="15.75" customHeight="1">
      <c r="K603" s="24"/>
    </row>
    <row r="604" ht="15.75" customHeight="1">
      <c r="K604" s="24"/>
    </row>
    <row r="605" ht="15.75" customHeight="1">
      <c r="K605" s="24"/>
    </row>
    <row r="606" ht="15.75" customHeight="1">
      <c r="K606" s="24"/>
    </row>
    <row r="607" ht="15.75" customHeight="1">
      <c r="K607" s="24"/>
    </row>
    <row r="608" ht="15.75" customHeight="1">
      <c r="K608" s="24"/>
    </row>
    <row r="609" ht="15.75" customHeight="1">
      <c r="K609" s="24"/>
    </row>
    <row r="610" ht="15.75" customHeight="1">
      <c r="K610" s="24"/>
    </row>
    <row r="611" ht="15.75" customHeight="1">
      <c r="K611" s="24"/>
    </row>
    <row r="612" ht="15.75" customHeight="1">
      <c r="K612" s="24"/>
    </row>
    <row r="613" ht="15.75" customHeight="1">
      <c r="K613" s="24"/>
    </row>
    <row r="614" ht="15.75" customHeight="1">
      <c r="K614" s="24"/>
    </row>
    <row r="615" ht="15.75" customHeight="1">
      <c r="K615" s="24"/>
    </row>
    <row r="616" ht="15.75" customHeight="1">
      <c r="K616" s="24"/>
    </row>
    <row r="617" ht="15.75" customHeight="1">
      <c r="K617" s="24"/>
    </row>
    <row r="618" ht="15.75" customHeight="1">
      <c r="K618" s="24"/>
    </row>
    <row r="619" ht="15.75" customHeight="1">
      <c r="K619" s="24"/>
    </row>
    <row r="620" ht="15.75" customHeight="1">
      <c r="K620" s="24"/>
    </row>
    <row r="621" ht="15.75" customHeight="1">
      <c r="K621" s="24"/>
    </row>
    <row r="622" ht="15.75" customHeight="1">
      <c r="K622" s="24"/>
    </row>
    <row r="623" ht="15.75" customHeight="1">
      <c r="K623" s="24"/>
    </row>
    <row r="624" ht="15.75" customHeight="1">
      <c r="K624" s="24"/>
    </row>
    <row r="625" ht="15.75" customHeight="1">
      <c r="K625" s="24"/>
    </row>
    <row r="626" ht="15.75" customHeight="1">
      <c r="K626" s="24"/>
    </row>
    <row r="627" ht="15.75" customHeight="1">
      <c r="K627" s="24"/>
    </row>
    <row r="628" ht="15.75" customHeight="1">
      <c r="K628" s="24"/>
    </row>
    <row r="629" ht="15.75" customHeight="1">
      <c r="K629" s="24"/>
    </row>
    <row r="630" ht="15.75" customHeight="1">
      <c r="K630" s="24"/>
    </row>
    <row r="631" ht="15.75" customHeight="1">
      <c r="K631" s="24"/>
    </row>
    <row r="632" ht="15.75" customHeight="1">
      <c r="K632" s="24"/>
    </row>
    <row r="633" ht="15.75" customHeight="1">
      <c r="K633" s="24"/>
    </row>
    <row r="634" ht="15.75" customHeight="1">
      <c r="K634" s="24"/>
    </row>
    <row r="635" ht="15.75" customHeight="1">
      <c r="K635" s="24"/>
    </row>
    <row r="636" ht="15.75" customHeight="1">
      <c r="K636" s="24"/>
    </row>
    <row r="637" ht="15.75" customHeight="1">
      <c r="K637" s="24"/>
    </row>
    <row r="638" ht="15.75" customHeight="1">
      <c r="K638" s="24"/>
    </row>
    <row r="639" ht="15.75" customHeight="1">
      <c r="K639" s="24"/>
    </row>
    <row r="640" ht="15.75" customHeight="1">
      <c r="K640" s="24"/>
    </row>
    <row r="641" ht="15.75" customHeight="1">
      <c r="K641" s="24"/>
    </row>
    <row r="642" ht="15.75" customHeight="1">
      <c r="K642" s="24"/>
    </row>
    <row r="643" ht="15.75" customHeight="1">
      <c r="K643" s="24"/>
    </row>
    <row r="644" ht="15.75" customHeight="1">
      <c r="K644" s="24"/>
    </row>
    <row r="645" ht="15.75" customHeight="1">
      <c r="K645" s="24"/>
    </row>
    <row r="646" ht="15.75" customHeight="1">
      <c r="K646" s="24"/>
    </row>
    <row r="647" ht="15.75" customHeight="1">
      <c r="K647" s="24"/>
    </row>
    <row r="648" ht="15.75" customHeight="1">
      <c r="K648" s="24"/>
    </row>
    <row r="649" ht="15.75" customHeight="1">
      <c r="K649" s="24"/>
    </row>
    <row r="650" ht="15.75" customHeight="1">
      <c r="K650" s="24"/>
    </row>
    <row r="651" ht="15.75" customHeight="1">
      <c r="K651" s="24"/>
    </row>
    <row r="652" ht="15.75" customHeight="1">
      <c r="K652" s="24"/>
    </row>
    <row r="653" ht="15.75" customHeight="1">
      <c r="K653" s="24"/>
    </row>
    <row r="654" ht="15.75" customHeight="1">
      <c r="K654" s="24"/>
    </row>
    <row r="655" ht="15.75" customHeight="1">
      <c r="K655" s="24"/>
    </row>
    <row r="656" ht="15.75" customHeight="1">
      <c r="K656" s="24"/>
    </row>
    <row r="657" ht="15.75" customHeight="1">
      <c r="K657" s="24"/>
    </row>
    <row r="658" ht="15.75" customHeight="1">
      <c r="K658" s="24"/>
    </row>
    <row r="659" ht="15.75" customHeight="1">
      <c r="K659" s="24"/>
    </row>
    <row r="660" ht="15.75" customHeight="1">
      <c r="K660" s="24"/>
    </row>
    <row r="661" ht="15.75" customHeight="1">
      <c r="K661" s="24"/>
    </row>
    <row r="662" ht="15.75" customHeight="1">
      <c r="K662" s="24"/>
    </row>
    <row r="663" ht="15.75" customHeight="1">
      <c r="K663" s="24"/>
    </row>
    <row r="664" ht="15.75" customHeight="1">
      <c r="K664" s="24"/>
    </row>
    <row r="665" ht="15.75" customHeight="1">
      <c r="K665" s="24"/>
    </row>
    <row r="666" ht="15.75" customHeight="1">
      <c r="K666" s="24"/>
    </row>
    <row r="667" ht="15.75" customHeight="1">
      <c r="K667" s="24"/>
    </row>
    <row r="668" ht="15.75" customHeight="1">
      <c r="K668" s="24"/>
    </row>
    <row r="669" ht="15.75" customHeight="1">
      <c r="K669" s="24"/>
    </row>
    <row r="670" ht="15.75" customHeight="1">
      <c r="K670" s="24"/>
    </row>
    <row r="671" ht="15.75" customHeight="1">
      <c r="K671" s="24"/>
    </row>
    <row r="672" ht="15.75" customHeight="1">
      <c r="K672" s="24"/>
    </row>
    <row r="673" ht="15.75" customHeight="1">
      <c r="K673" s="24"/>
    </row>
    <row r="674" ht="15.75" customHeight="1">
      <c r="K674" s="24"/>
    </row>
    <row r="675" ht="15.75" customHeight="1">
      <c r="K675" s="24"/>
    </row>
    <row r="676" ht="15.75" customHeight="1">
      <c r="K676" s="24"/>
    </row>
    <row r="677" ht="15.75" customHeight="1">
      <c r="K677" s="24"/>
    </row>
    <row r="678" ht="15.75" customHeight="1">
      <c r="K678" s="24"/>
    </row>
    <row r="679" ht="15.75" customHeight="1">
      <c r="K679" s="24"/>
    </row>
    <row r="680" ht="15.75" customHeight="1">
      <c r="K680" s="24"/>
    </row>
    <row r="681" ht="15.75" customHeight="1">
      <c r="K681" s="24"/>
    </row>
    <row r="682" ht="15.75" customHeight="1">
      <c r="K682" s="24"/>
    </row>
    <row r="683" ht="15.75" customHeight="1">
      <c r="K683" s="24"/>
    </row>
    <row r="684" ht="15.75" customHeight="1">
      <c r="K684" s="24"/>
    </row>
    <row r="685" ht="15.75" customHeight="1">
      <c r="K685" s="24"/>
    </row>
    <row r="686" ht="15.75" customHeight="1">
      <c r="K686" s="24"/>
    </row>
    <row r="687" ht="15.75" customHeight="1">
      <c r="K687" s="24"/>
    </row>
    <row r="688" ht="15.75" customHeight="1">
      <c r="K688" s="24"/>
    </row>
    <row r="689" ht="15.75" customHeight="1">
      <c r="K689" s="24"/>
    </row>
    <row r="690" ht="15.75" customHeight="1">
      <c r="K690" s="24"/>
    </row>
    <row r="691" ht="15.75" customHeight="1">
      <c r="K691" s="24"/>
    </row>
    <row r="692" ht="15.75" customHeight="1">
      <c r="K692" s="24"/>
    </row>
    <row r="693" ht="15.75" customHeight="1">
      <c r="K693" s="24"/>
    </row>
    <row r="694" ht="15.75" customHeight="1">
      <c r="K694" s="24"/>
    </row>
    <row r="695" ht="15.75" customHeight="1">
      <c r="K695" s="24"/>
    </row>
    <row r="696" ht="15.75" customHeight="1">
      <c r="K696" s="24"/>
    </row>
    <row r="697" ht="15.75" customHeight="1">
      <c r="K697" s="24"/>
    </row>
    <row r="698" ht="15.75" customHeight="1">
      <c r="K698" s="24"/>
    </row>
    <row r="699" ht="15.75" customHeight="1">
      <c r="K699" s="24"/>
    </row>
    <row r="700" ht="15.75" customHeight="1">
      <c r="K700" s="24"/>
    </row>
    <row r="701" ht="15.75" customHeight="1">
      <c r="K701" s="24"/>
    </row>
    <row r="702" ht="15.75" customHeight="1">
      <c r="K702" s="24"/>
    </row>
    <row r="703" ht="15.75" customHeight="1">
      <c r="K703" s="24"/>
    </row>
    <row r="704" ht="15.75" customHeight="1">
      <c r="K704" s="24"/>
    </row>
    <row r="705" ht="15.75" customHeight="1">
      <c r="K705" s="24"/>
    </row>
    <row r="706" ht="15.75" customHeight="1">
      <c r="K706" s="24"/>
    </row>
    <row r="707" ht="15.75" customHeight="1">
      <c r="K707" s="24"/>
    </row>
    <row r="708" ht="15.75" customHeight="1">
      <c r="K708" s="24"/>
    </row>
    <row r="709" ht="15.75" customHeight="1">
      <c r="K709" s="24"/>
    </row>
    <row r="710" ht="15.75" customHeight="1">
      <c r="K710" s="24"/>
    </row>
    <row r="711" ht="15.75" customHeight="1">
      <c r="K711" s="24"/>
    </row>
    <row r="712" ht="15.75" customHeight="1">
      <c r="K712" s="24"/>
    </row>
    <row r="713" ht="15.75" customHeight="1">
      <c r="K713" s="24"/>
    </row>
    <row r="714" ht="15.75" customHeight="1">
      <c r="K714" s="24"/>
    </row>
    <row r="715" ht="15.75" customHeight="1">
      <c r="K715" s="24"/>
    </row>
    <row r="716" ht="15.75" customHeight="1">
      <c r="K716" s="24"/>
    </row>
    <row r="717" ht="15.75" customHeight="1">
      <c r="K717" s="24"/>
    </row>
    <row r="718" ht="15.75" customHeight="1">
      <c r="K718" s="24"/>
    </row>
    <row r="719" ht="15.75" customHeight="1">
      <c r="K719" s="24"/>
    </row>
    <row r="720" ht="15.75" customHeight="1">
      <c r="K720" s="24"/>
    </row>
    <row r="721" ht="15.75" customHeight="1">
      <c r="K721" s="24"/>
    </row>
    <row r="722" ht="15.75" customHeight="1">
      <c r="K722" s="24"/>
    </row>
    <row r="723" ht="15.75" customHeight="1">
      <c r="K723" s="24"/>
    </row>
    <row r="724" ht="15.75" customHeight="1">
      <c r="K724" s="24"/>
    </row>
    <row r="725" ht="15.75" customHeight="1">
      <c r="K725" s="24"/>
    </row>
    <row r="726" ht="15.75" customHeight="1">
      <c r="K726" s="24"/>
    </row>
    <row r="727" ht="15.75" customHeight="1">
      <c r="K727" s="24"/>
    </row>
    <row r="728" ht="15.75" customHeight="1">
      <c r="K728" s="24"/>
    </row>
    <row r="729" ht="15.75" customHeight="1">
      <c r="K729" s="24"/>
    </row>
    <row r="730" ht="15.75" customHeight="1">
      <c r="K730" s="24"/>
    </row>
    <row r="731" ht="15.75" customHeight="1">
      <c r="K731" s="24"/>
    </row>
    <row r="732" ht="15.75" customHeight="1">
      <c r="K732" s="24"/>
    </row>
    <row r="733" ht="15.75" customHeight="1">
      <c r="K733" s="24"/>
    </row>
    <row r="734" ht="15.75" customHeight="1">
      <c r="K734" s="24"/>
    </row>
    <row r="735" ht="15.75" customHeight="1">
      <c r="K735" s="24"/>
    </row>
    <row r="736" ht="15.75" customHeight="1">
      <c r="K736" s="24"/>
    </row>
    <row r="737" ht="15.75" customHeight="1">
      <c r="K737" s="24"/>
    </row>
    <row r="738" ht="15.75" customHeight="1">
      <c r="K738" s="24"/>
    </row>
    <row r="739" ht="15.75" customHeight="1">
      <c r="K739" s="24"/>
    </row>
    <row r="740" ht="15.75" customHeight="1">
      <c r="K740" s="24"/>
    </row>
    <row r="741" ht="15.75" customHeight="1">
      <c r="K741" s="24"/>
    </row>
    <row r="742" ht="15.75" customHeight="1">
      <c r="K742" s="24"/>
    </row>
    <row r="743" ht="15.75" customHeight="1">
      <c r="K743" s="24"/>
    </row>
    <row r="744" ht="15.75" customHeight="1">
      <c r="K744" s="24"/>
    </row>
    <row r="745" ht="15.75" customHeight="1">
      <c r="K745" s="24"/>
    </row>
    <row r="746" ht="15.75" customHeight="1">
      <c r="K746" s="24"/>
    </row>
    <row r="747" ht="15.75" customHeight="1">
      <c r="K747" s="24"/>
    </row>
    <row r="748" ht="15.75" customHeight="1">
      <c r="K748" s="24"/>
    </row>
    <row r="749" ht="15.75" customHeight="1">
      <c r="K749" s="24"/>
    </row>
    <row r="750" ht="15.75" customHeight="1">
      <c r="K750" s="24"/>
    </row>
    <row r="751" ht="15.75" customHeight="1">
      <c r="K751" s="24"/>
    </row>
    <row r="752" ht="15.75" customHeight="1">
      <c r="K752" s="24"/>
    </row>
    <row r="753" ht="15.75" customHeight="1">
      <c r="K753" s="24"/>
    </row>
    <row r="754" ht="15.75" customHeight="1">
      <c r="K754" s="24"/>
    </row>
    <row r="755" ht="15.75" customHeight="1">
      <c r="K755" s="24"/>
    </row>
    <row r="756" ht="15.75" customHeight="1">
      <c r="K756" s="24"/>
    </row>
    <row r="757" ht="15.75" customHeight="1">
      <c r="K757" s="24"/>
    </row>
    <row r="758" ht="15.75" customHeight="1">
      <c r="K758" s="24"/>
    </row>
    <row r="759" ht="15.75" customHeight="1">
      <c r="K759" s="24"/>
    </row>
    <row r="760" ht="15.75" customHeight="1">
      <c r="K760" s="24"/>
    </row>
    <row r="761" ht="15.75" customHeight="1">
      <c r="K761" s="24"/>
    </row>
    <row r="762" ht="15.75" customHeight="1">
      <c r="K762" s="24"/>
    </row>
    <row r="763" ht="15.75" customHeight="1">
      <c r="K763" s="24"/>
    </row>
    <row r="764" ht="15.75" customHeight="1">
      <c r="K764" s="24"/>
    </row>
    <row r="765" ht="15.75" customHeight="1">
      <c r="K765" s="24"/>
    </row>
    <row r="766" ht="15.75" customHeight="1">
      <c r="K766" s="24"/>
    </row>
    <row r="767" ht="15.75" customHeight="1">
      <c r="K767" s="24"/>
    </row>
    <row r="768" ht="15.75" customHeight="1">
      <c r="K768" s="24"/>
    </row>
    <row r="769" ht="15.75" customHeight="1">
      <c r="K769" s="24"/>
    </row>
    <row r="770" ht="15.75" customHeight="1">
      <c r="K770" s="24"/>
    </row>
    <row r="771" ht="15.75" customHeight="1">
      <c r="K771" s="24"/>
    </row>
    <row r="772" ht="15.75" customHeight="1">
      <c r="K772" s="24"/>
    </row>
    <row r="773" ht="15.75" customHeight="1">
      <c r="K773" s="24"/>
    </row>
    <row r="774" ht="15.75" customHeight="1">
      <c r="K774" s="24"/>
    </row>
    <row r="775" ht="15.75" customHeight="1">
      <c r="K775" s="24"/>
    </row>
    <row r="776" ht="15.75" customHeight="1">
      <c r="K776" s="24"/>
    </row>
    <row r="777" ht="15.75" customHeight="1">
      <c r="K777" s="24"/>
    </row>
    <row r="778" ht="15.75" customHeight="1">
      <c r="K778" s="24"/>
    </row>
    <row r="779" ht="15.75" customHeight="1">
      <c r="K779" s="24"/>
    </row>
    <row r="780" ht="15.75" customHeight="1">
      <c r="K780" s="24"/>
    </row>
    <row r="781" ht="15.75" customHeight="1">
      <c r="K781" s="24"/>
    </row>
    <row r="782" ht="15.75" customHeight="1">
      <c r="K782" s="24"/>
    </row>
    <row r="783" ht="15.75" customHeight="1">
      <c r="K783" s="24"/>
    </row>
    <row r="784" ht="15.75" customHeight="1">
      <c r="K784" s="24"/>
    </row>
    <row r="785" ht="15.75" customHeight="1">
      <c r="K785" s="24"/>
    </row>
    <row r="786" ht="15.75" customHeight="1">
      <c r="K786" s="24"/>
    </row>
    <row r="787" ht="15.75" customHeight="1">
      <c r="K787" s="24"/>
    </row>
    <row r="788" ht="15.75" customHeight="1">
      <c r="K788" s="24"/>
    </row>
    <row r="789" ht="15.75" customHeight="1">
      <c r="K789" s="24"/>
    </row>
    <row r="790" ht="15.75" customHeight="1">
      <c r="K790" s="24"/>
    </row>
    <row r="791" ht="15.75" customHeight="1">
      <c r="K791" s="24"/>
    </row>
    <row r="792" ht="15.75" customHeight="1">
      <c r="K792" s="24"/>
    </row>
    <row r="793" ht="15.75" customHeight="1">
      <c r="K793" s="24"/>
    </row>
    <row r="794" ht="15.75" customHeight="1">
      <c r="K794" s="24"/>
    </row>
    <row r="795" ht="15.75" customHeight="1">
      <c r="K795" s="24"/>
    </row>
    <row r="796" ht="15.75" customHeight="1">
      <c r="K796" s="24"/>
    </row>
    <row r="797" ht="15.75" customHeight="1">
      <c r="K797" s="24"/>
    </row>
    <row r="798" ht="15.75" customHeight="1">
      <c r="K798" s="24"/>
    </row>
    <row r="799" ht="15.75" customHeight="1">
      <c r="K799" s="24"/>
    </row>
    <row r="800" ht="15.75" customHeight="1">
      <c r="K800" s="24"/>
    </row>
    <row r="801" ht="15.75" customHeight="1">
      <c r="K801" s="24"/>
    </row>
    <row r="802" ht="15.75" customHeight="1">
      <c r="K802" s="24"/>
    </row>
    <row r="803" ht="15.75" customHeight="1">
      <c r="K803" s="24"/>
    </row>
    <row r="804" ht="15.75" customHeight="1">
      <c r="K804" s="24"/>
    </row>
    <row r="805" ht="15.75" customHeight="1">
      <c r="K805" s="24"/>
    </row>
    <row r="806" ht="15.75" customHeight="1">
      <c r="K806" s="24"/>
    </row>
    <row r="807" ht="15.75" customHeight="1">
      <c r="K807" s="24"/>
    </row>
    <row r="808" ht="15.75" customHeight="1">
      <c r="K808" s="24"/>
    </row>
    <row r="809" ht="15.75" customHeight="1">
      <c r="K809" s="24"/>
    </row>
    <row r="810" ht="15.75" customHeight="1">
      <c r="K810" s="24"/>
    </row>
    <row r="811" ht="15.75" customHeight="1">
      <c r="K811" s="24"/>
    </row>
    <row r="812" ht="15.75" customHeight="1">
      <c r="K812" s="24"/>
    </row>
    <row r="813" ht="15.75" customHeight="1">
      <c r="K813" s="24"/>
    </row>
    <row r="814" ht="15.75" customHeight="1">
      <c r="K814" s="24"/>
    </row>
    <row r="815" ht="15.75" customHeight="1">
      <c r="K815" s="24"/>
    </row>
    <row r="816" ht="15.75" customHeight="1">
      <c r="K816" s="24"/>
    </row>
    <row r="817" ht="15.75" customHeight="1">
      <c r="K817" s="24"/>
    </row>
    <row r="818" ht="15.75" customHeight="1">
      <c r="K818" s="24"/>
    </row>
    <row r="819" ht="15.75" customHeight="1">
      <c r="K819" s="24"/>
    </row>
    <row r="820" ht="15.75" customHeight="1">
      <c r="K820" s="24"/>
    </row>
    <row r="821" ht="15.75" customHeight="1">
      <c r="K821" s="24"/>
    </row>
    <row r="822" ht="15.75" customHeight="1">
      <c r="K822" s="24"/>
    </row>
    <row r="823" ht="15.75" customHeight="1">
      <c r="K823" s="24"/>
    </row>
    <row r="824" ht="15.75" customHeight="1">
      <c r="K824" s="24"/>
    </row>
    <row r="825" ht="15.75" customHeight="1">
      <c r="K825" s="24"/>
    </row>
    <row r="826" ht="15.75" customHeight="1">
      <c r="K826" s="24"/>
    </row>
    <row r="827" ht="15.75" customHeight="1">
      <c r="K827" s="24"/>
    </row>
    <row r="828" ht="15.75" customHeight="1">
      <c r="K828" s="24"/>
    </row>
    <row r="829" ht="15.75" customHeight="1">
      <c r="K829" s="24"/>
    </row>
    <row r="830" ht="15.75" customHeight="1">
      <c r="K830" s="24"/>
    </row>
    <row r="831" ht="15.75" customHeight="1">
      <c r="K831" s="24"/>
    </row>
    <row r="832" ht="15.75" customHeight="1">
      <c r="K832" s="24"/>
    </row>
    <row r="833" ht="15.75" customHeight="1">
      <c r="K833" s="24"/>
    </row>
    <row r="834" ht="15.75" customHeight="1">
      <c r="K834" s="24"/>
    </row>
    <row r="835" ht="15.75" customHeight="1">
      <c r="K835" s="24"/>
    </row>
    <row r="836" ht="15.75" customHeight="1">
      <c r="K836" s="24"/>
    </row>
    <row r="837" ht="15.75" customHeight="1">
      <c r="K837" s="24"/>
    </row>
    <row r="838" ht="15.75" customHeight="1">
      <c r="K838" s="24"/>
    </row>
    <row r="839" ht="15.75" customHeight="1">
      <c r="K839" s="24"/>
    </row>
    <row r="840" ht="15.75" customHeight="1">
      <c r="K840" s="24"/>
    </row>
    <row r="841" ht="15.75" customHeight="1">
      <c r="K841" s="24"/>
    </row>
    <row r="842" ht="15.75" customHeight="1">
      <c r="K842" s="24"/>
    </row>
    <row r="843" ht="15.75" customHeight="1">
      <c r="K843" s="24"/>
    </row>
    <row r="844" ht="15.75" customHeight="1">
      <c r="K844" s="24"/>
    </row>
    <row r="845" ht="15.75" customHeight="1">
      <c r="K845" s="24"/>
    </row>
    <row r="846" ht="15.75" customHeight="1">
      <c r="K846" s="24"/>
    </row>
    <row r="847" ht="15.75" customHeight="1">
      <c r="K847" s="24"/>
    </row>
    <row r="848" ht="15.75" customHeight="1">
      <c r="K848" s="24"/>
    </row>
    <row r="849" ht="15.75" customHeight="1">
      <c r="K849" s="24"/>
    </row>
    <row r="850" ht="15.75" customHeight="1">
      <c r="K850" s="24"/>
    </row>
    <row r="851" ht="15.75" customHeight="1">
      <c r="K851" s="24"/>
    </row>
    <row r="852" ht="15.75" customHeight="1">
      <c r="K852" s="24"/>
    </row>
    <row r="853" ht="15.75" customHeight="1">
      <c r="K853" s="24"/>
    </row>
    <row r="854" ht="15.75" customHeight="1">
      <c r="K854" s="24"/>
    </row>
    <row r="855" ht="15.75" customHeight="1">
      <c r="K855" s="24"/>
    </row>
    <row r="856" ht="15.75" customHeight="1">
      <c r="K856" s="24"/>
    </row>
    <row r="857" ht="15.75" customHeight="1">
      <c r="K857" s="24"/>
    </row>
    <row r="858" ht="15.75" customHeight="1">
      <c r="K858" s="24"/>
    </row>
    <row r="859" ht="15.75" customHeight="1">
      <c r="K859" s="24"/>
    </row>
    <row r="860" ht="15.75" customHeight="1">
      <c r="K860" s="24"/>
    </row>
    <row r="861" ht="15.75" customHeight="1">
      <c r="K861" s="24"/>
    </row>
    <row r="862" ht="15.75" customHeight="1">
      <c r="K862" s="24"/>
    </row>
    <row r="863" ht="15.75" customHeight="1">
      <c r="K863" s="24"/>
    </row>
    <row r="864" ht="15.75" customHeight="1">
      <c r="K864" s="24"/>
    </row>
    <row r="865" ht="15.75" customHeight="1">
      <c r="K865" s="24"/>
    </row>
    <row r="866" ht="15.75" customHeight="1">
      <c r="K866" s="24"/>
    </row>
    <row r="867" ht="15.75" customHeight="1">
      <c r="K867" s="24"/>
    </row>
    <row r="868" ht="15.75" customHeight="1">
      <c r="K868" s="24"/>
    </row>
    <row r="869" ht="15.75" customHeight="1">
      <c r="K869" s="24"/>
    </row>
    <row r="870" ht="15.75" customHeight="1">
      <c r="K870" s="24"/>
    </row>
    <row r="871" ht="15.75" customHeight="1">
      <c r="K871" s="24"/>
    </row>
    <row r="872" ht="15.75" customHeight="1">
      <c r="K872" s="24"/>
    </row>
    <row r="873" ht="15.75" customHeight="1">
      <c r="K873" s="24"/>
    </row>
    <row r="874" ht="15.75" customHeight="1">
      <c r="K874" s="24"/>
    </row>
    <row r="875" ht="15.75" customHeight="1">
      <c r="K875" s="24"/>
    </row>
    <row r="876" ht="15.75" customHeight="1">
      <c r="K876" s="24"/>
    </row>
    <row r="877" ht="15.75" customHeight="1">
      <c r="K877" s="24"/>
    </row>
    <row r="878" ht="15.75" customHeight="1">
      <c r="K878" s="24"/>
    </row>
    <row r="879" ht="15.75" customHeight="1">
      <c r="K879" s="24"/>
    </row>
    <row r="880" ht="15.75" customHeight="1">
      <c r="K880" s="24"/>
    </row>
    <row r="881" ht="15.75" customHeight="1">
      <c r="K881" s="24"/>
    </row>
    <row r="882" ht="15.75" customHeight="1">
      <c r="K882" s="24"/>
    </row>
    <row r="883" ht="15.75" customHeight="1">
      <c r="K883" s="24"/>
    </row>
    <row r="884" ht="15.75" customHeight="1">
      <c r="K884" s="24"/>
    </row>
    <row r="885" ht="15.75" customHeight="1">
      <c r="K885" s="24"/>
    </row>
    <row r="886" ht="15.75" customHeight="1">
      <c r="K886" s="24"/>
    </row>
    <row r="887" ht="15.75" customHeight="1">
      <c r="K887" s="24"/>
    </row>
    <row r="888" ht="15.75" customHeight="1">
      <c r="K888" s="24"/>
    </row>
    <row r="889" ht="15.75" customHeight="1">
      <c r="K889" s="24"/>
    </row>
    <row r="890" ht="15.75" customHeight="1">
      <c r="K890" s="24"/>
    </row>
    <row r="891" ht="15.75" customHeight="1">
      <c r="K891" s="24"/>
    </row>
    <row r="892" ht="15.75" customHeight="1">
      <c r="K892" s="24"/>
    </row>
    <row r="893" ht="15.75" customHeight="1">
      <c r="K893" s="24"/>
    </row>
    <row r="894" ht="15.75" customHeight="1">
      <c r="K894" s="24"/>
    </row>
    <row r="895" ht="15.75" customHeight="1">
      <c r="K895" s="24"/>
    </row>
    <row r="896" ht="15.75" customHeight="1">
      <c r="K896" s="24"/>
    </row>
    <row r="897" ht="15.75" customHeight="1">
      <c r="K897" s="24"/>
    </row>
    <row r="898" ht="15.75" customHeight="1">
      <c r="K898" s="24"/>
    </row>
    <row r="899" ht="15.75" customHeight="1">
      <c r="K899" s="24"/>
    </row>
    <row r="900" ht="15.75" customHeight="1">
      <c r="K900" s="24"/>
    </row>
    <row r="901" ht="15.75" customHeight="1">
      <c r="K901" s="24"/>
    </row>
    <row r="902" ht="15.75" customHeight="1">
      <c r="K902" s="24"/>
    </row>
    <row r="903" ht="15.75" customHeight="1">
      <c r="K903" s="24"/>
    </row>
    <row r="904" ht="15.75" customHeight="1">
      <c r="K904" s="24"/>
    </row>
    <row r="905" ht="15.75" customHeight="1">
      <c r="K905" s="24"/>
    </row>
    <row r="906" ht="15.75" customHeight="1">
      <c r="K906" s="24"/>
    </row>
    <row r="907" ht="15.75" customHeight="1">
      <c r="K907" s="24"/>
    </row>
    <row r="908" ht="15.75" customHeight="1">
      <c r="K908" s="24"/>
    </row>
    <row r="909" ht="15.75" customHeight="1">
      <c r="K909" s="24"/>
    </row>
    <row r="910" ht="15.75" customHeight="1">
      <c r="K910" s="24"/>
    </row>
    <row r="911" ht="15.75" customHeight="1">
      <c r="K911" s="24"/>
    </row>
    <row r="912" ht="15.75" customHeight="1">
      <c r="K912" s="24"/>
    </row>
    <row r="913" ht="15.75" customHeight="1">
      <c r="K913" s="24"/>
    </row>
    <row r="914" ht="15.75" customHeight="1">
      <c r="K914" s="24"/>
    </row>
    <row r="915" ht="15.75" customHeight="1">
      <c r="K915" s="24"/>
    </row>
    <row r="916" ht="15.75" customHeight="1">
      <c r="K916" s="24"/>
    </row>
    <row r="917" ht="15.75" customHeight="1">
      <c r="K917" s="24"/>
    </row>
    <row r="918" ht="15.75" customHeight="1">
      <c r="K918" s="24"/>
    </row>
    <row r="919" ht="15.75" customHeight="1">
      <c r="K919" s="24"/>
    </row>
    <row r="920" ht="15.75" customHeight="1">
      <c r="K920" s="24"/>
    </row>
    <row r="921" ht="15.75" customHeight="1">
      <c r="K921" s="24"/>
    </row>
    <row r="922" ht="15.75" customHeight="1">
      <c r="K922" s="24"/>
    </row>
    <row r="923" ht="15.75" customHeight="1">
      <c r="K923" s="24"/>
    </row>
    <row r="924" ht="15.75" customHeight="1">
      <c r="K924" s="24"/>
    </row>
    <row r="925" ht="15.75" customHeight="1">
      <c r="K925" s="24"/>
    </row>
    <row r="926" ht="15.75" customHeight="1">
      <c r="K926" s="24"/>
    </row>
    <row r="927" ht="15.75" customHeight="1">
      <c r="K927" s="24"/>
    </row>
    <row r="928" ht="15.75" customHeight="1">
      <c r="K928" s="24"/>
    </row>
    <row r="929" ht="15.75" customHeight="1">
      <c r="K929" s="24"/>
    </row>
    <row r="930" ht="15.75" customHeight="1">
      <c r="K930" s="24"/>
    </row>
    <row r="931" ht="15.75" customHeight="1">
      <c r="K931" s="24"/>
    </row>
    <row r="932" ht="15.75" customHeight="1">
      <c r="K932" s="24"/>
    </row>
    <row r="933" ht="15.75" customHeight="1">
      <c r="K933" s="24"/>
    </row>
    <row r="934" ht="15.75" customHeight="1">
      <c r="K934" s="24"/>
    </row>
    <row r="935" ht="15.75" customHeight="1">
      <c r="K935" s="24"/>
    </row>
    <row r="936" ht="15.75" customHeight="1">
      <c r="K936" s="24"/>
    </row>
    <row r="937" ht="15.75" customHeight="1">
      <c r="K937" s="24"/>
    </row>
    <row r="938" ht="15.75" customHeight="1">
      <c r="K938" s="24"/>
    </row>
    <row r="939" ht="15.75" customHeight="1">
      <c r="K939" s="24"/>
    </row>
    <row r="940" ht="15.75" customHeight="1">
      <c r="K940" s="24"/>
    </row>
    <row r="941" ht="15.75" customHeight="1">
      <c r="K941" s="24"/>
    </row>
    <row r="942" ht="15.75" customHeight="1">
      <c r="K942" s="24"/>
    </row>
    <row r="943" ht="15.75" customHeight="1">
      <c r="K943" s="24"/>
    </row>
    <row r="944" ht="15.75" customHeight="1">
      <c r="K944" s="24"/>
    </row>
    <row r="945" ht="15.75" customHeight="1">
      <c r="K945" s="24"/>
    </row>
    <row r="946" ht="15.75" customHeight="1">
      <c r="K946" s="24"/>
    </row>
    <row r="947" ht="15.75" customHeight="1">
      <c r="K947" s="24"/>
    </row>
    <row r="948" ht="15.75" customHeight="1">
      <c r="K948" s="24"/>
    </row>
    <row r="949" ht="15.75" customHeight="1">
      <c r="K949" s="24"/>
    </row>
    <row r="950" ht="15.75" customHeight="1">
      <c r="K950" s="24"/>
    </row>
    <row r="951" ht="15.75" customHeight="1">
      <c r="K951" s="24"/>
    </row>
    <row r="952" ht="15.75" customHeight="1">
      <c r="K952" s="24"/>
    </row>
    <row r="953" ht="15.75" customHeight="1">
      <c r="K953" s="24"/>
    </row>
    <row r="954" ht="15.75" customHeight="1">
      <c r="K954" s="24"/>
    </row>
    <row r="955" ht="15.75" customHeight="1">
      <c r="K955" s="24"/>
    </row>
    <row r="956" ht="15.75" customHeight="1">
      <c r="K956" s="24"/>
    </row>
    <row r="957" ht="15.75" customHeight="1">
      <c r="K957" s="24"/>
    </row>
    <row r="958" ht="15.75" customHeight="1">
      <c r="K958" s="24"/>
    </row>
    <row r="959" ht="15.75" customHeight="1">
      <c r="K959" s="24"/>
    </row>
    <row r="960" ht="15.75" customHeight="1">
      <c r="K960" s="24"/>
    </row>
    <row r="961" ht="15.75" customHeight="1">
      <c r="K961" s="24"/>
    </row>
    <row r="962" ht="15.75" customHeight="1">
      <c r="K962" s="24"/>
    </row>
    <row r="963" ht="15.75" customHeight="1">
      <c r="K963" s="24"/>
    </row>
    <row r="964" ht="15.75" customHeight="1">
      <c r="K964" s="24"/>
    </row>
    <row r="965" ht="15.75" customHeight="1">
      <c r="K965" s="24"/>
    </row>
    <row r="966" ht="15.75" customHeight="1">
      <c r="K966" s="24"/>
    </row>
    <row r="967" ht="15.75" customHeight="1">
      <c r="K967" s="24"/>
    </row>
    <row r="968" ht="15.75" customHeight="1">
      <c r="K968" s="24"/>
    </row>
    <row r="969" ht="15.75" customHeight="1">
      <c r="K969" s="24"/>
    </row>
    <row r="970" ht="15.75" customHeight="1">
      <c r="K970" s="24"/>
    </row>
    <row r="971" ht="15.75" customHeight="1">
      <c r="K971" s="24"/>
    </row>
    <row r="972" ht="15.75" customHeight="1">
      <c r="K972" s="24"/>
    </row>
    <row r="973" ht="15.75" customHeight="1">
      <c r="K973" s="24"/>
    </row>
    <row r="974" ht="15.75" customHeight="1">
      <c r="K974" s="24"/>
    </row>
    <row r="975" ht="15.75" customHeight="1">
      <c r="K975" s="24"/>
    </row>
    <row r="976" ht="15.75" customHeight="1">
      <c r="K976" s="24"/>
    </row>
    <row r="977" ht="15.75" customHeight="1">
      <c r="K977" s="24"/>
    </row>
    <row r="978" ht="15.75" customHeight="1">
      <c r="K978" s="24"/>
    </row>
    <row r="979" ht="15.75" customHeight="1">
      <c r="K979" s="24"/>
    </row>
    <row r="980" ht="15.75" customHeight="1">
      <c r="K980" s="24"/>
    </row>
    <row r="981" ht="15.75" customHeight="1">
      <c r="K981" s="24"/>
    </row>
    <row r="982" ht="15.75" customHeight="1">
      <c r="K982" s="24"/>
    </row>
    <row r="983" ht="15.75" customHeight="1">
      <c r="K983" s="24"/>
    </row>
    <row r="984" ht="15.75" customHeight="1">
      <c r="K984" s="24"/>
    </row>
    <row r="985" ht="15.75" customHeight="1">
      <c r="K985" s="24"/>
    </row>
    <row r="986" ht="15.75" customHeight="1">
      <c r="K986" s="24"/>
    </row>
    <row r="987" ht="15.75" customHeight="1">
      <c r="K987" s="24"/>
    </row>
    <row r="988" ht="15.75" customHeight="1">
      <c r="K988" s="24"/>
    </row>
    <row r="989" ht="15.75" customHeight="1">
      <c r="K989" s="24"/>
    </row>
    <row r="990" ht="15.75" customHeight="1">
      <c r="K990" s="24"/>
    </row>
    <row r="991" ht="15.75" customHeight="1">
      <c r="K991" s="24"/>
    </row>
    <row r="992" ht="15.75" customHeight="1">
      <c r="K992" s="24"/>
    </row>
    <row r="993" ht="15.75" customHeight="1">
      <c r="K993" s="24"/>
    </row>
    <row r="994" ht="15.75" customHeight="1">
      <c r="K994" s="24"/>
    </row>
    <row r="995" ht="15.75" customHeight="1">
      <c r="K995" s="24"/>
    </row>
    <row r="996" ht="15.75" customHeight="1">
      <c r="K996" s="24"/>
    </row>
    <row r="997" ht="15.75" customHeight="1">
      <c r="K997" s="24"/>
    </row>
    <row r="998" ht="15.75" customHeight="1">
      <c r="K998" s="24"/>
    </row>
    <row r="999" ht="15.75" customHeight="1">
      <c r="K999" s="24"/>
    </row>
    <row r="1000" ht="15.75" customHeight="1">
      <c r="K1000" s="24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9" width="10.14"/>
    <col customWidth="1" min="10" max="10" width="11.14"/>
    <col customWidth="1" min="11" max="11" width="10.14"/>
    <col customWidth="1" min="12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2" t="s">
        <v>69</v>
      </c>
      <c r="J1" s="22"/>
    </row>
    <row r="2">
      <c r="A2" s="24" t="s">
        <v>70</v>
      </c>
      <c r="B2" s="24">
        <v>474.0</v>
      </c>
      <c r="C2" s="24">
        <v>474.0</v>
      </c>
      <c r="D2" s="24">
        <v>124.0</v>
      </c>
      <c r="E2" s="24">
        <v>75.0</v>
      </c>
      <c r="F2" s="24">
        <v>6.0</v>
      </c>
      <c r="G2" s="24">
        <v>53.0</v>
      </c>
      <c r="H2" s="24">
        <v>149.0</v>
      </c>
      <c r="I2" s="24">
        <v>20.0</v>
      </c>
      <c r="J2" s="24"/>
    </row>
    <row r="3">
      <c r="A3" s="24" t="s">
        <v>71</v>
      </c>
      <c r="B3" s="24">
        <v>27850.0</v>
      </c>
      <c r="C3" s="24">
        <v>27850.0</v>
      </c>
      <c r="D3" s="24">
        <v>655.0</v>
      </c>
      <c r="E3" s="24">
        <v>855.0</v>
      </c>
      <c r="F3" s="24">
        <v>0.0</v>
      </c>
      <c r="G3" s="24">
        <v>454.0</v>
      </c>
      <c r="H3" s="24">
        <v>1098.0</v>
      </c>
      <c r="I3" s="24">
        <v>63.0</v>
      </c>
      <c r="J3" s="24"/>
    </row>
    <row r="4">
      <c r="A4" s="24" t="s">
        <v>72</v>
      </c>
      <c r="B4" s="24">
        <f t="shared" ref="B4:I4" si="1">SUM(B2:B3)</f>
        <v>28324</v>
      </c>
      <c r="C4" s="24">
        <f t="shared" si="1"/>
        <v>28324</v>
      </c>
      <c r="D4" s="24">
        <f t="shared" si="1"/>
        <v>779</v>
      </c>
      <c r="E4" s="24">
        <f t="shared" si="1"/>
        <v>930</v>
      </c>
      <c r="F4" s="24">
        <f t="shared" si="1"/>
        <v>6</v>
      </c>
      <c r="G4" s="24">
        <f t="shared" si="1"/>
        <v>507</v>
      </c>
      <c r="H4" s="24">
        <f t="shared" si="1"/>
        <v>1247</v>
      </c>
      <c r="I4" s="24">
        <f t="shared" si="1"/>
        <v>83</v>
      </c>
      <c r="J4" s="24"/>
      <c r="K4" s="24"/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124</v>
      </c>
      <c r="C9" s="26">
        <f>D3</f>
        <v>655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</row>
    <row r="10">
      <c r="B10" s="26">
        <f>C2-D2</f>
        <v>350</v>
      </c>
      <c r="C10" s="25">
        <f>C3-D3</f>
        <v>27195</v>
      </c>
      <c r="D10" s="27">
        <f>SUM(B9:C10)</f>
        <v>28324</v>
      </c>
      <c r="F10" s="34">
        <f>B9/(B9+B10)</f>
        <v>0.2616033755</v>
      </c>
      <c r="G10" s="34">
        <f>C10/(C10+C9)</f>
        <v>0.976481149</v>
      </c>
      <c r="H10" s="34">
        <f>(C10+B9)/D10</f>
        <v>0.9645177235</v>
      </c>
      <c r="I10" s="34">
        <f>((B9*C10)-(C9*B10))/SQRT((B9+C9)*(B9+B10)*(C10+C9)*(C10+B10))</f>
        <v>0.1867423504</v>
      </c>
      <c r="J10" s="34">
        <f>C4*D2/(D4*(B9+B10))</f>
        <v>9.511750974</v>
      </c>
      <c r="K10" s="34">
        <f>((D2*C4)-((B9+B10)*D2))/(D2*C4-2*(B9+B10)*D2+(B9+B10)*D4)</f>
        <v>0.9175130916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75</v>
      </c>
      <c r="C12" s="26">
        <f>E3</f>
        <v>855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</row>
    <row r="13">
      <c r="B13" s="26">
        <f>C2-E2</f>
        <v>399</v>
      </c>
      <c r="C13" s="25">
        <f>C3-E3</f>
        <v>26995</v>
      </c>
      <c r="D13" s="31">
        <f>SUM(B12:C13)</f>
        <v>28324</v>
      </c>
      <c r="F13" s="34">
        <f>B12/(B12+B13)</f>
        <v>0.1582278481</v>
      </c>
      <c r="G13" s="34">
        <f>C13/(C13+C12)</f>
        <v>0.9692998205</v>
      </c>
      <c r="H13" s="34">
        <f>(C13+B12)/D13</f>
        <v>0.9557265923</v>
      </c>
      <c r="I13" s="34">
        <f>((B12*C13)-(C12*B13))/SQRT((B12+C12)*(B12+B13)*(C13+C12)*(C13+B13))</f>
        <v>0.09179879716</v>
      </c>
      <c r="J13" s="34">
        <f>C4*E2/(E4*(B12+B13))</f>
        <v>4.818973731</v>
      </c>
      <c r="K13" s="34">
        <f>((E2*C4)-((B12+B13)*E2))/(E2*C4-2*(B12+B13)*E2+(B12+B13)*E4)</f>
        <v>0.8375033079</v>
      </c>
    </row>
    <row r="14">
      <c r="F14" s="29"/>
      <c r="G14" s="29"/>
      <c r="H14" s="29"/>
      <c r="I14" s="29"/>
      <c r="J14" s="29"/>
      <c r="K14" s="29"/>
    </row>
    <row r="15">
      <c r="A15" s="27" t="s">
        <v>62</v>
      </c>
      <c r="B15" s="25">
        <f>F2</f>
        <v>6</v>
      </c>
      <c r="C15" s="26">
        <f>F3</f>
        <v>0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</row>
    <row r="16">
      <c r="B16" s="26">
        <f>C2-F2</f>
        <v>468</v>
      </c>
      <c r="C16" s="25">
        <f>C3-F3</f>
        <v>27850</v>
      </c>
      <c r="D16" s="31">
        <f>SUM(B15:C16)</f>
        <v>28324</v>
      </c>
      <c r="F16" s="34">
        <f>B15/(B15+B16)</f>
        <v>0.01265822785</v>
      </c>
      <c r="G16" s="34">
        <f>C16/(C16+C15)</f>
        <v>1</v>
      </c>
      <c r="H16" s="34">
        <f>(C16+B15)/D16</f>
        <v>0.98347691</v>
      </c>
      <c r="I16" s="34">
        <f>((B15*C16)-(C15*B16))/SQRT((B15+C15)*(B15+B16)*(C16+C15)*(C16+B16))</f>
        <v>0.1115752235</v>
      </c>
      <c r="J16" s="34">
        <f>C4*F2/(F4*(B15+B16))</f>
        <v>59.75527426</v>
      </c>
      <c r="K16" s="34">
        <f>((F2*C4)-((B15+B16)*F2))/(F2*C4-2*(B15+B16)*F2+(B15+B16)*F4)</f>
        <v>1</v>
      </c>
    </row>
    <row r="17">
      <c r="F17" s="34"/>
      <c r="G17" s="34"/>
      <c r="H17" s="34"/>
      <c r="I17" s="34"/>
      <c r="J17" s="34"/>
      <c r="K17" s="34"/>
    </row>
    <row r="18">
      <c r="A18" s="27" t="s">
        <v>63</v>
      </c>
      <c r="B18" s="25">
        <f>G2</f>
        <v>53</v>
      </c>
      <c r="C18" s="26">
        <f>G3</f>
        <v>454</v>
      </c>
      <c r="F18" s="32" t="s">
        <v>77</v>
      </c>
      <c r="G18" s="32" t="s">
        <v>78</v>
      </c>
      <c r="H18" s="32" t="s">
        <v>15</v>
      </c>
      <c r="I18" s="32" t="s">
        <v>79</v>
      </c>
      <c r="J18" s="32" t="s">
        <v>80</v>
      </c>
      <c r="K18" s="32" t="s">
        <v>81</v>
      </c>
    </row>
    <row r="19">
      <c r="B19" s="26">
        <f>C2-G2</f>
        <v>421</v>
      </c>
      <c r="C19" s="25">
        <f>C3-G3</f>
        <v>27396</v>
      </c>
      <c r="D19" s="31">
        <f>SUM(B18:C19)</f>
        <v>28324</v>
      </c>
      <c r="F19" s="34">
        <f>B18/(B18+B19)</f>
        <v>0.111814346</v>
      </c>
      <c r="G19" s="34">
        <f>C19/(C19+C18)</f>
        <v>0.9836983842</v>
      </c>
      <c r="H19" s="34">
        <f>(C19+B18)/D19</f>
        <v>0.9691074707</v>
      </c>
      <c r="I19" s="34">
        <f>((B18*C19)-(C18*B19))/SQRT((B18+C18)*(B18+B19)*(C19+C18)*(C19+B19))</f>
        <v>0.09240679445</v>
      </c>
      <c r="J19" s="34">
        <f>C4*G2/(G4*(B18+B19))</f>
        <v>6.24660658</v>
      </c>
      <c r="K19" s="34">
        <f>((G2*C4)-((B18+B19)*G2))/(G2*C4-2*(B18+B19)*G2+(B18+B19)*G4)</f>
        <v>0.8727589008</v>
      </c>
    </row>
    <row r="20">
      <c r="F20" s="34"/>
      <c r="G20" s="34"/>
      <c r="H20" s="34"/>
      <c r="I20" s="34"/>
      <c r="J20" s="34"/>
      <c r="K20" s="34"/>
    </row>
    <row r="21" ht="15.75" customHeight="1">
      <c r="A21" s="27" t="s">
        <v>64</v>
      </c>
      <c r="B21" s="25">
        <f>H2</f>
        <v>149</v>
      </c>
      <c r="C21" s="26">
        <f>H3</f>
        <v>1098</v>
      </c>
      <c r="F21" s="32" t="s">
        <v>77</v>
      </c>
      <c r="G21" s="32" t="s">
        <v>78</v>
      </c>
      <c r="H21" s="32" t="s">
        <v>15</v>
      </c>
      <c r="I21" s="32" t="s">
        <v>79</v>
      </c>
      <c r="J21" s="32" t="s">
        <v>80</v>
      </c>
      <c r="K21" s="32" t="s">
        <v>81</v>
      </c>
    </row>
    <row r="22" ht="15.75" customHeight="1">
      <c r="B22" s="26">
        <f>C2-H2</f>
        <v>325</v>
      </c>
      <c r="C22" s="25">
        <f>C3-H3</f>
        <v>26752</v>
      </c>
      <c r="D22" s="31">
        <f>SUM(B21:C22)</f>
        <v>28324</v>
      </c>
      <c r="F22" s="34">
        <f>B21/(B21+B22)</f>
        <v>0.3143459916</v>
      </c>
      <c r="G22" s="34">
        <f>C22/(C22+C21)</f>
        <v>0.9605745063</v>
      </c>
      <c r="H22" s="34">
        <f>(C22+B21)/D22</f>
        <v>0.9497599209</v>
      </c>
      <c r="I22" s="34">
        <f>((B21*C22)-(C21*B22))/SQRT((B21+C21)*(B21+B22)*(C22+C21)*(C22+B22))</f>
        <v>0.1718998086</v>
      </c>
      <c r="J22" s="34">
        <f>C4*H2/(H4*(B21+B22))</f>
        <v>7.139964607</v>
      </c>
      <c r="K22" s="34">
        <f>((H2*C4)-((B21+B22)*H2))/(H2*C4-2*(B21+B22)*H2+(B21+B22)*H4)</f>
        <v>0.8885566097</v>
      </c>
    </row>
    <row r="23" ht="15.75" customHeight="1">
      <c r="F23" s="34"/>
      <c r="G23" s="34"/>
      <c r="H23" s="34"/>
      <c r="I23" s="34"/>
      <c r="J23" s="34"/>
      <c r="K23" s="34"/>
    </row>
    <row r="24" ht="15.75" customHeight="1">
      <c r="A24" s="22" t="s">
        <v>69</v>
      </c>
      <c r="B24" s="25">
        <f>I2</f>
        <v>20</v>
      </c>
      <c r="C24" s="26">
        <f>I3</f>
        <v>63</v>
      </c>
      <c r="F24" s="32" t="s">
        <v>77</v>
      </c>
      <c r="G24" s="32" t="s">
        <v>78</v>
      </c>
      <c r="H24" s="32" t="s">
        <v>15</v>
      </c>
      <c r="I24" s="32" t="s">
        <v>79</v>
      </c>
      <c r="J24" s="32" t="s">
        <v>80</v>
      </c>
      <c r="K24" s="32" t="s">
        <v>81</v>
      </c>
    </row>
    <row r="25" ht="15.75" customHeight="1">
      <c r="B25" s="26">
        <f>C2-I2</f>
        <v>454</v>
      </c>
      <c r="C25" s="25">
        <f>C3-I3</f>
        <v>27787</v>
      </c>
      <c r="D25" s="31">
        <f>SUM(B24:C25)</f>
        <v>28324</v>
      </c>
      <c r="F25" s="34">
        <f>B24/(B24+B25)</f>
        <v>0.04219409283</v>
      </c>
      <c r="G25" s="34">
        <f>C25/(C25+C24)</f>
        <v>0.9977378815</v>
      </c>
      <c r="H25" s="34">
        <f>(C25+B24)/D25</f>
        <v>0.9817469284</v>
      </c>
      <c r="I25" s="34">
        <f>((B24*C25)-(C24*B25))/SQRT((B24+C24)*(B24+B25)*(C25+C24)*(C25+B25))</f>
        <v>0.09476401926</v>
      </c>
      <c r="J25" s="34">
        <f>C4*I2/(I4*(B24+B25))</f>
        <v>14.39886127</v>
      </c>
      <c r="K25" s="34">
        <f>((I2*C4)-((B24+B25)*I2))/(I2*C4-2*(B24+B25)*I2+(B24+B25)*I4)</f>
        <v>0.9491158058</v>
      </c>
    </row>
    <row r="26" ht="15.75" customHeight="1">
      <c r="F26" s="29"/>
      <c r="G26" s="29"/>
      <c r="H26" s="29"/>
      <c r="I26" s="29"/>
      <c r="J26" s="29"/>
      <c r="K26" s="29"/>
    </row>
    <row r="27" ht="15.75" customHeight="1">
      <c r="B27" s="35"/>
      <c r="C27" s="35"/>
      <c r="F27" s="36"/>
      <c r="G27" s="36"/>
      <c r="H27" s="36"/>
      <c r="I27" s="36"/>
      <c r="J27" s="36"/>
      <c r="K27" s="36"/>
    </row>
    <row r="28" ht="15.75" customHeight="1">
      <c r="B28" s="35"/>
      <c r="C28" s="3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9" width="10.14"/>
    <col customWidth="1" min="10" max="10" width="11.14"/>
    <col customWidth="1" min="11" max="11" width="10.14"/>
    <col customWidth="1" min="12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2" t="s">
        <v>69</v>
      </c>
      <c r="J1" s="22"/>
      <c r="K1" s="22"/>
    </row>
    <row r="2">
      <c r="A2" s="24" t="s">
        <v>70</v>
      </c>
      <c r="B2" s="24">
        <v>542.0</v>
      </c>
      <c r="C2" s="24">
        <v>542.0</v>
      </c>
      <c r="D2" s="24">
        <v>63.0</v>
      </c>
      <c r="E2" s="24">
        <v>42.0</v>
      </c>
      <c r="F2" s="24">
        <v>10.0</v>
      </c>
      <c r="G2" s="24">
        <v>200.0</v>
      </c>
      <c r="H2" s="24">
        <v>22.0</v>
      </c>
      <c r="I2" s="24">
        <v>333.0</v>
      </c>
      <c r="J2" s="24">
        <v>0.0</v>
      </c>
      <c r="K2" s="24">
        <v>0.0</v>
      </c>
    </row>
    <row r="3">
      <c r="A3" s="24" t="s">
        <v>71</v>
      </c>
      <c r="B3" s="24">
        <v>35050.0</v>
      </c>
      <c r="C3" s="24">
        <v>35050.0</v>
      </c>
      <c r="D3" s="24">
        <v>592.0</v>
      </c>
      <c r="E3" s="24">
        <v>299.0</v>
      </c>
      <c r="F3" s="24">
        <v>0.0</v>
      </c>
      <c r="G3" s="24">
        <v>1333.0</v>
      </c>
      <c r="H3" s="24">
        <v>74.0</v>
      </c>
      <c r="I3" s="24">
        <v>9259.0</v>
      </c>
      <c r="J3" s="24">
        <v>0.0</v>
      </c>
      <c r="K3" s="24">
        <v>0.0</v>
      </c>
    </row>
    <row r="4">
      <c r="A4" s="24" t="s">
        <v>72</v>
      </c>
      <c r="B4" s="24">
        <f t="shared" ref="B4:K4" si="1">SUM(B2:B3)</f>
        <v>35592</v>
      </c>
      <c r="C4" s="24">
        <f t="shared" si="1"/>
        <v>35592</v>
      </c>
      <c r="D4" s="24">
        <f t="shared" si="1"/>
        <v>655</v>
      </c>
      <c r="E4" s="24">
        <f t="shared" si="1"/>
        <v>341</v>
      </c>
      <c r="F4" s="24">
        <f t="shared" si="1"/>
        <v>10</v>
      </c>
      <c r="G4" s="24">
        <f t="shared" si="1"/>
        <v>1533</v>
      </c>
      <c r="H4" s="24">
        <f t="shared" si="1"/>
        <v>96</v>
      </c>
      <c r="I4" s="24">
        <f t="shared" si="1"/>
        <v>9592</v>
      </c>
      <c r="J4" s="24">
        <f t="shared" si="1"/>
        <v>0</v>
      </c>
      <c r="K4" s="24">
        <f t="shared" si="1"/>
        <v>0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63</v>
      </c>
      <c r="C9" s="26">
        <f>D3</f>
        <v>592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</row>
    <row r="10">
      <c r="B10" s="26">
        <f>C2-D2</f>
        <v>479</v>
      </c>
      <c r="C10" s="25">
        <f>C3-D3</f>
        <v>34458</v>
      </c>
      <c r="D10" s="27">
        <f>SUM(B9:C10)</f>
        <v>35592</v>
      </c>
      <c r="F10" s="34">
        <f>B9/(B9+B10)</f>
        <v>0.1162361624</v>
      </c>
      <c r="G10" s="34">
        <f>C10/(C10+C9)</f>
        <v>0.9831098431</v>
      </c>
      <c r="H10" s="34">
        <f>(C10+B9)/D10</f>
        <v>0.9699089683</v>
      </c>
      <c r="I10" s="34">
        <f>((B9*C10)-(C9*B10))/SQRT((B9+C9)*(B9+B10)*(C10+C9)*(C10+B10))</f>
        <v>0.09051709529</v>
      </c>
      <c r="J10" s="34">
        <f>C4*D2/(D4*(B9+B10))</f>
        <v>6.316148841</v>
      </c>
      <c r="K10" s="34">
        <f>((D2*C4)-((B9+B10)*D2))/(D2*C4-2*(B9+B10)*D2+(B9+B10)*D4)</f>
        <v>0.8731268392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42</v>
      </c>
      <c r="C12" s="26">
        <f>E3</f>
        <v>299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</row>
    <row r="13">
      <c r="B13" s="26">
        <f>C2-E2</f>
        <v>500</v>
      </c>
      <c r="C13" s="25">
        <f>C3-E3</f>
        <v>34751</v>
      </c>
      <c r="D13" s="31">
        <f>SUM(B12:C13)</f>
        <v>35592</v>
      </c>
      <c r="F13" s="34">
        <f>B12/(B12+B13)</f>
        <v>0.07749077491</v>
      </c>
      <c r="G13" s="34">
        <f>C13/(C13+C12)</f>
        <v>0.9914693295</v>
      </c>
      <c r="H13" s="34">
        <f>(C13+B12)/D13</f>
        <v>0.9775511351</v>
      </c>
      <c r="I13" s="34">
        <f>((B12*C13)-(C12*B13))/SQRT((B12+C12)*(B12+B13)*(C13+C12)*(C13+B13))</f>
        <v>0.08669192661</v>
      </c>
      <c r="J13" s="34">
        <f>C4*E2/(E4*(B12+B13))</f>
        <v>8.088128037</v>
      </c>
      <c r="K13" s="34">
        <f>((E2*C4)-((B12+B13)*E2))/(E2*C4-2*(B12+B13)*E2+(B12+B13)*E4)</f>
        <v>0.9008308866</v>
      </c>
    </row>
    <row r="14">
      <c r="F14" s="29"/>
      <c r="G14" s="29"/>
      <c r="H14" s="29"/>
      <c r="I14" s="29"/>
      <c r="J14" s="29"/>
      <c r="K14" s="29"/>
    </row>
    <row r="15">
      <c r="A15" s="27" t="s">
        <v>62</v>
      </c>
      <c r="B15" s="25">
        <f>F2</f>
        <v>10</v>
      </c>
      <c r="C15" s="26">
        <f>F3</f>
        <v>0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</row>
    <row r="16">
      <c r="B16" s="26">
        <f>C2-F2</f>
        <v>532</v>
      </c>
      <c r="C16" s="25">
        <f>C3-F3</f>
        <v>35050</v>
      </c>
      <c r="D16" s="31">
        <f>SUM(B15:C16)</f>
        <v>35592</v>
      </c>
      <c r="F16" s="29">
        <f>B15/(B15+B16)</f>
        <v>0.0184501845</v>
      </c>
      <c r="G16" s="29">
        <f>C16/(C16+C15)</f>
        <v>1</v>
      </c>
      <c r="H16" s="29">
        <f>(C16+B15)/D16</f>
        <v>0.9850528209</v>
      </c>
      <c r="I16" s="29">
        <f>((B15*C16)-(C15*B16))/SQRT((B15+C15)*(B15+B16)*(C16+C15)*(C16+B16))</f>
        <v>0.1348121982</v>
      </c>
      <c r="J16" s="29">
        <f>C4*F2/(F4*(B15+B16))</f>
        <v>65.66789668</v>
      </c>
      <c r="K16" s="29">
        <f>((F2*C4)-((B15+B16)*F2))/(F2*C4-2*(B15+B16)*F2+(B15+B16)*F4)</f>
        <v>1</v>
      </c>
    </row>
    <row r="17">
      <c r="F17" s="29"/>
      <c r="G17" s="29"/>
      <c r="H17" s="29"/>
      <c r="I17" s="29"/>
      <c r="J17" s="29"/>
      <c r="K17" s="29"/>
    </row>
    <row r="18">
      <c r="A18" s="27" t="s">
        <v>63</v>
      </c>
      <c r="B18" s="25">
        <f>G2</f>
        <v>200</v>
      </c>
      <c r="C18" s="26">
        <f>G3</f>
        <v>1333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</row>
    <row r="19">
      <c r="B19" s="26">
        <f>C2-G2</f>
        <v>342</v>
      </c>
      <c r="C19" s="25">
        <f>C3-G3</f>
        <v>33717</v>
      </c>
      <c r="D19" s="31">
        <f>SUM(B18:C19)</f>
        <v>35592</v>
      </c>
      <c r="F19" s="29">
        <f>B18/(B18+B19)</f>
        <v>0.36900369</v>
      </c>
      <c r="G19" s="29">
        <f>C19/(C19+C18)</f>
        <v>0.9619686163</v>
      </c>
      <c r="H19" s="29">
        <f>(C19+B18)/D19</f>
        <v>0.9529388627</v>
      </c>
      <c r="I19" s="29">
        <f>((B18*C19)-(C18*B19))/SQRT((B18+C18)*(B18+B19)*(C19+C18)*(C19+B19))</f>
        <v>0.1996403336</v>
      </c>
      <c r="J19" s="29">
        <f>C4*G2/(G4*(B18+B19))</f>
        <v>8.567240271</v>
      </c>
      <c r="K19" s="29">
        <f>((G2*C4)-((B18+B19)*G2))/(G2*C4-2*(B18+B19)*G2+(B18+B19)*G4)</f>
        <v>0.9065648486</v>
      </c>
    </row>
    <row r="20">
      <c r="F20" s="29"/>
      <c r="G20" s="29"/>
      <c r="H20" s="29"/>
      <c r="I20" s="29"/>
      <c r="J20" s="29"/>
      <c r="K20" s="29"/>
    </row>
    <row r="21" ht="15.75" customHeight="1">
      <c r="A21" s="27" t="s">
        <v>64</v>
      </c>
      <c r="B21" s="25">
        <f>H2</f>
        <v>22</v>
      </c>
      <c r="C21" s="26">
        <f>H3</f>
        <v>74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</row>
    <row r="22" ht="15.75" customHeight="1">
      <c r="B22" s="26">
        <f>C2-H2</f>
        <v>520</v>
      </c>
      <c r="C22" s="25">
        <f>C3-H3</f>
        <v>34976</v>
      </c>
      <c r="D22" s="31">
        <f>SUM(B21:C22)</f>
        <v>35592</v>
      </c>
      <c r="F22" s="29">
        <f>B21/(B21+B22)</f>
        <v>0.0405904059</v>
      </c>
      <c r="G22" s="29">
        <f>C22/(C22+C21)</f>
        <v>0.9978887304</v>
      </c>
      <c r="H22" s="29">
        <f>(C22+B21)/D22</f>
        <v>0.9833108564</v>
      </c>
      <c r="I22" s="29">
        <f>((B21*C22)-(C21*B22))/SQRT((B21+C21)*(B21+B22)*(C22+C21)*(C22+B22))</f>
        <v>0.09085391478</v>
      </c>
      <c r="J22" s="29">
        <f>C4*H2/(H4*(B21+B22))</f>
        <v>15.04889299</v>
      </c>
      <c r="K22" s="29">
        <f>((H2*C4)-((B21+B22)*H2))/(H2*C4-2*(B21+B22)*H2+(B21+B22)*H4)</f>
        <v>0.9505576868</v>
      </c>
    </row>
    <row r="23" ht="15.75" customHeight="1">
      <c r="F23" s="29"/>
      <c r="G23" s="29"/>
      <c r="H23" s="29"/>
      <c r="I23" s="29"/>
      <c r="J23" s="29"/>
      <c r="K23" s="29"/>
    </row>
    <row r="24" ht="15.75" customHeight="1">
      <c r="A24" s="27" t="s">
        <v>69</v>
      </c>
      <c r="B24" s="25">
        <f>I2</f>
        <v>333</v>
      </c>
      <c r="C24" s="26">
        <f>I3</f>
        <v>9259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</row>
    <row r="25" ht="15.75" customHeight="1">
      <c r="B25" s="26">
        <f>C2-I2</f>
        <v>209</v>
      </c>
      <c r="C25" s="25">
        <f>C3-I3</f>
        <v>25791</v>
      </c>
      <c r="D25" s="31">
        <f>SUM(B24:C25)</f>
        <v>35592</v>
      </c>
      <c r="F25" s="29">
        <f>B24/(B24+B25)</f>
        <v>0.6143911439</v>
      </c>
      <c r="G25" s="29">
        <f>C25/(C25+C24)</f>
        <v>0.7358345221</v>
      </c>
      <c r="H25" s="29">
        <f>(C25+B24)/D25</f>
        <v>0.7339851652</v>
      </c>
      <c r="I25" s="29">
        <f>((B24*C25)-(C24*B25))/SQRT((B24+C24)*(B24+B25)*(C25+C24)*(C25+B25))</f>
        <v>0.09666079556</v>
      </c>
      <c r="J25" s="29">
        <f>C4*I2/(I4*(B24+B25))</f>
        <v>2.279754962</v>
      </c>
      <c r="K25" s="29">
        <f>((I2*C4)-((B24+B25)*I2))/(I2*C4-2*(B24+B25)*I2+(B24+B25)*I4)</f>
        <v>0.6993187789</v>
      </c>
    </row>
    <row r="26" ht="15.75" customHeight="1">
      <c r="F26" s="29"/>
      <c r="G26" s="29"/>
      <c r="H26" s="29"/>
      <c r="I26" s="29"/>
      <c r="J26" s="29"/>
      <c r="K26" s="29"/>
    </row>
    <row r="27" ht="15.75" customHeight="1">
      <c r="B27" s="25">
        <f>J2</f>
        <v>0</v>
      </c>
      <c r="C27" s="26">
        <f>J3</f>
        <v>0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</row>
    <row r="28" ht="15.75" customHeight="1">
      <c r="B28" s="26">
        <f>C2-J2</f>
        <v>542</v>
      </c>
      <c r="C28" s="25">
        <f>C3-J3</f>
        <v>35050</v>
      </c>
      <c r="D28" s="27">
        <f>SUM(B27:C28)</f>
        <v>35592</v>
      </c>
      <c r="F28" s="29">
        <f>B27/(B27+B28)</f>
        <v>0</v>
      </c>
      <c r="G28" s="29">
        <f>C28/(C28+C27)</f>
        <v>1</v>
      </c>
      <c r="H28" s="29">
        <f>(C28+B27)/D28</f>
        <v>0.9847718588</v>
      </c>
      <c r="I28" s="29" t="str">
        <f>((B27*C28)-(C27*B28))/SQRT((B27+C27)*(B27+B28)*(C28+C27)*(C28+B28))</f>
        <v>#DIV/0!</v>
      </c>
      <c r="J28" s="29" t="str">
        <f>C4*J2/(J4*(B27+B28))</f>
        <v>#DIV/0!</v>
      </c>
      <c r="K28" s="29" t="str">
        <f>((J2*C4)-((B27+B28)*J2))/(J2*C4-2*(B27+B28)*J2+(B27+B28)*J4)</f>
        <v>#DIV/0!</v>
      </c>
    </row>
    <row r="29" ht="15.75" customHeight="1">
      <c r="F29" s="29"/>
      <c r="G29" s="29"/>
      <c r="H29" s="29"/>
      <c r="I29" s="29"/>
      <c r="J29" s="29"/>
      <c r="K29" s="29"/>
    </row>
    <row r="30" ht="15.75" customHeight="1">
      <c r="B30" s="25">
        <f>K2</f>
        <v>0</v>
      </c>
      <c r="C30" s="26">
        <f>K3</f>
        <v>0</v>
      </c>
      <c r="F30" s="37" t="s">
        <v>77</v>
      </c>
      <c r="G30" s="37" t="s">
        <v>78</v>
      </c>
      <c r="H30" s="37" t="s">
        <v>15</v>
      </c>
      <c r="I30" s="37" t="s">
        <v>79</v>
      </c>
      <c r="J30" s="37" t="s">
        <v>80</v>
      </c>
      <c r="K30" s="37" t="s">
        <v>81</v>
      </c>
    </row>
    <row r="31" ht="15.75" customHeight="1">
      <c r="B31" s="26">
        <f>C2-K2</f>
        <v>542</v>
      </c>
      <c r="C31" s="25">
        <f>C3-K3</f>
        <v>35050</v>
      </c>
      <c r="D31" s="31">
        <f>SUM(B30:C31)</f>
        <v>35592</v>
      </c>
      <c r="F31" s="38">
        <f>B30/(B30+B31)</f>
        <v>0</v>
      </c>
      <c r="G31" s="38">
        <f>C31/(C31+C30)</f>
        <v>1</v>
      </c>
      <c r="H31" s="38">
        <f>(C31+B30)/D31</f>
        <v>0.9847718588</v>
      </c>
      <c r="I31" s="38" t="str">
        <f>((B30*C31)-(C30*B31))/SQRT((B30+C30)*(B30+B31)*(C31+C30)*(C31+B31))</f>
        <v>#DIV/0!</v>
      </c>
      <c r="J31" s="38" t="str">
        <f>C4*K2/(K4*(B30+B31))</f>
        <v>#DIV/0!</v>
      </c>
      <c r="K31" s="38" t="str">
        <f>((K2*C4)-((B30+B31)*K2))/(K2*C4-2*(B30+B31)*K2+(B30+B31)*K4)</f>
        <v>#DIV/0!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86"/>
    <col customWidth="1" min="3" max="3" width="9.0"/>
    <col customWidth="1" min="4" max="4" width="9.14"/>
    <col customWidth="1" min="5" max="5" width="11.29"/>
    <col customWidth="1" min="6" max="7" width="11.71"/>
    <col customWidth="1" min="8" max="8" width="10.14"/>
    <col customWidth="1" min="9" max="9" width="10.86"/>
    <col customWidth="1" min="10" max="10" width="14.14"/>
    <col customWidth="1" min="11" max="11" width="10.14"/>
    <col customWidth="1" min="12" max="12" width="14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282.0</v>
      </c>
      <c r="C2" s="24">
        <v>282.0</v>
      </c>
      <c r="D2" s="24">
        <v>20.0</v>
      </c>
      <c r="E2" s="24">
        <v>9.0</v>
      </c>
      <c r="F2" s="24">
        <v>2.0</v>
      </c>
      <c r="G2" s="24">
        <v>228.0</v>
      </c>
      <c r="H2" s="24">
        <v>7.0</v>
      </c>
      <c r="I2" s="24">
        <v>4.0</v>
      </c>
      <c r="J2" s="24">
        <v>0.0</v>
      </c>
      <c r="K2" s="24">
        <v>11.0</v>
      </c>
      <c r="L2" s="24">
        <v>0.0</v>
      </c>
      <c r="M2" s="24">
        <v>142.0</v>
      </c>
    </row>
    <row r="3">
      <c r="A3" s="24" t="s">
        <v>71</v>
      </c>
      <c r="B3" s="24">
        <v>16900.0</v>
      </c>
      <c r="C3" s="24">
        <v>16900.0</v>
      </c>
      <c r="D3" s="24">
        <v>142.0</v>
      </c>
      <c r="E3" s="24">
        <v>3224.0</v>
      </c>
      <c r="F3" s="24">
        <v>0.0</v>
      </c>
      <c r="G3" s="24">
        <v>4556.0</v>
      </c>
      <c r="H3" s="24">
        <v>22.0</v>
      </c>
      <c r="I3" s="24">
        <v>114.0</v>
      </c>
      <c r="J3" s="24">
        <v>1.0</v>
      </c>
      <c r="K3" s="24">
        <v>247.0</v>
      </c>
      <c r="L3" s="24">
        <v>0.0</v>
      </c>
      <c r="M3" s="24">
        <v>4829.0</v>
      </c>
    </row>
    <row r="4">
      <c r="A4" s="24" t="s">
        <v>72</v>
      </c>
      <c r="B4" s="24">
        <f t="shared" ref="B4:M4" si="1">SUM(B2:B3)</f>
        <v>17182</v>
      </c>
      <c r="C4" s="24">
        <f t="shared" si="1"/>
        <v>17182</v>
      </c>
      <c r="D4" s="24">
        <f t="shared" si="1"/>
        <v>162</v>
      </c>
      <c r="E4" s="24">
        <f t="shared" si="1"/>
        <v>3233</v>
      </c>
      <c r="F4" s="24">
        <f t="shared" si="1"/>
        <v>2</v>
      </c>
      <c r="G4" s="24">
        <f t="shared" si="1"/>
        <v>4784</v>
      </c>
      <c r="H4" s="24">
        <f t="shared" si="1"/>
        <v>29</v>
      </c>
      <c r="I4" s="24">
        <f t="shared" si="1"/>
        <v>118</v>
      </c>
      <c r="J4" s="24">
        <f t="shared" si="1"/>
        <v>1</v>
      </c>
      <c r="K4" s="24">
        <f t="shared" si="1"/>
        <v>258</v>
      </c>
      <c r="L4" s="24">
        <f t="shared" si="1"/>
        <v>0</v>
      </c>
      <c r="M4" s="24">
        <f t="shared" si="1"/>
        <v>4971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20</v>
      </c>
      <c r="C9" s="26">
        <f>D3</f>
        <v>142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262</v>
      </c>
      <c r="C10" s="25">
        <f>C3-D3</f>
        <v>16758</v>
      </c>
      <c r="D10" s="27">
        <f>SUM(B9:C10)</f>
        <v>17182</v>
      </c>
      <c r="F10" s="34">
        <f>B9/(B9+B10)</f>
        <v>0.07092198582</v>
      </c>
      <c r="G10" s="34">
        <f>C10/(C10+C9)</f>
        <v>0.9915976331</v>
      </c>
      <c r="H10" s="34">
        <f>(C10+B9)/D10</f>
        <v>0.9764870213</v>
      </c>
      <c r="I10" s="34">
        <f>((B9*C10)-(C9*B10))/SQRT((B9+C9)*(B9+B10)*(C10+C9)*(C10+B10))</f>
        <v>0.0821952922</v>
      </c>
      <c r="J10" s="34">
        <f>C4*D2/(D4*(B9+B10))</f>
        <v>7.522108397</v>
      </c>
      <c r="K10" s="34">
        <f>((D2*C4)-((B9+B10)*D2))/(D2*C4-2*(B9+B10)*D2+(B9+B10)*D4)</f>
        <v>0.8940758219</v>
      </c>
      <c r="L10" s="29">
        <f>(I10+1)/2</f>
        <v>0.5410976461</v>
      </c>
      <c r="M10" s="29">
        <f>(2*B9)/(2*B9+C9+B10)</f>
        <v>0.09009009009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9</v>
      </c>
      <c r="C12" s="26">
        <f>E3</f>
        <v>3224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273</v>
      </c>
      <c r="C13" s="25">
        <f>C3-E3</f>
        <v>13676</v>
      </c>
      <c r="D13" s="31">
        <f>SUM(B12:C13)</f>
        <v>17182</v>
      </c>
      <c r="F13" s="34">
        <f>B12/(B12+B13)</f>
        <v>0.03191489362</v>
      </c>
      <c r="G13" s="34">
        <f>C13/(C13+C12)</f>
        <v>0.8092307692</v>
      </c>
      <c r="H13" s="34">
        <f>(C13+B12)/D13</f>
        <v>0.7964730532</v>
      </c>
      <c r="I13" s="34">
        <f>((B12*C13)-(C12*B13))/SQRT((B12+C12)*(B12+B13)*(C13+C12)*(C13+B13))</f>
        <v>-0.05164075626</v>
      </c>
      <c r="J13" s="34">
        <f>C4*E2/(E4*(B12+B13))</f>
        <v>0.1696138887</v>
      </c>
      <c r="K13" s="34">
        <f>((E2*C4)-((B12+B13)*E2))/(E2*C4-2*(B12+B13)*E2+(B12+B13)*E4)</f>
        <v>0.1433191239</v>
      </c>
      <c r="L13" s="29">
        <f>(I13+1)/2</f>
        <v>0.4741796219</v>
      </c>
      <c r="M13" s="29">
        <f>(2*B12)/(2*B12+C12+B13)</f>
        <v>0.005120910384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2</v>
      </c>
      <c r="C15" s="26">
        <f>F3</f>
        <v>0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280</v>
      </c>
      <c r="C16" s="25">
        <f>C3-F3</f>
        <v>16900</v>
      </c>
      <c r="D16" s="31">
        <f>SUM(B15:C16)</f>
        <v>17182</v>
      </c>
      <c r="F16" s="28">
        <f>B15/(B15+B16)</f>
        <v>0.007092198582</v>
      </c>
      <c r="G16" s="28">
        <f>C16/(C16+C15)</f>
        <v>1</v>
      </c>
      <c r="H16" s="28">
        <f>(C16+B15)/D16</f>
        <v>0.9837038761</v>
      </c>
      <c r="I16" s="28">
        <f>((B15*C16)-(C15*B16))/SQRT((B15+C15)*(B15+B16)*(C16+C15)*(C16+B16))</f>
        <v>0.08352610239</v>
      </c>
      <c r="J16" s="28">
        <f>C4*F2/(F4*(B15+B16))</f>
        <v>60.92907801</v>
      </c>
      <c r="K16" s="28">
        <f>((F2*C4)-((B15+B16)*F2))/(F2*C4-2*(B15+B16)*F2+(B15+B16)*F4)</f>
        <v>1</v>
      </c>
      <c r="L16" s="29">
        <f>(I16+1)/2</f>
        <v>0.5417630512</v>
      </c>
      <c r="M16" s="29">
        <f>(2*B15)/(2*B15+C15+B16)</f>
        <v>0.01408450704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228</v>
      </c>
      <c r="C18" s="26">
        <f>G3</f>
        <v>4556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54</v>
      </c>
      <c r="C19" s="25">
        <f>C3-G3</f>
        <v>12344</v>
      </c>
      <c r="D19" s="31">
        <f>SUM(B18:C19)</f>
        <v>17182</v>
      </c>
      <c r="F19" s="28">
        <f>B18/(B18+B19)</f>
        <v>0.8085106383</v>
      </c>
      <c r="G19" s="28">
        <f>C19/(C19+C18)</f>
        <v>0.7304142012</v>
      </c>
      <c r="H19" s="28">
        <f>(C19+B18)/D19</f>
        <v>0.7316959609</v>
      </c>
      <c r="I19" s="28">
        <f>((B18*C19)-(C18*B19))/SQRT((B18+C18)*(B18+B19)*(C19+C18)*(C19+B19))</f>
        <v>0.152765296</v>
      </c>
      <c r="J19" s="28">
        <f>C4*G2/(G4*(B18+B19))</f>
        <v>2.903810574</v>
      </c>
      <c r="K19" s="28">
        <f>((G2*C4)-((B18+B19)*G2))/(G2*C4-2*(B18+B19)*G2+(B18+B19)*G4)</f>
        <v>0.7499427792</v>
      </c>
      <c r="L19" s="29">
        <f>(I19+1)/2</f>
        <v>0.576382648</v>
      </c>
      <c r="M19" s="29">
        <f>(2*B18)/(2*B18+C18+B19)</f>
        <v>0.09001184366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7</v>
      </c>
      <c r="C21" s="26">
        <f>H3</f>
        <v>22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275</v>
      </c>
      <c r="C22" s="25">
        <f>C3-H3</f>
        <v>16878</v>
      </c>
      <c r="D22" s="31">
        <f>SUM(B21:C22)</f>
        <v>17182</v>
      </c>
      <c r="F22" s="28">
        <f>B21/(B21+B22)</f>
        <v>0.02482269504</v>
      </c>
      <c r="G22" s="28">
        <f>C22/(C22+C21)</f>
        <v>0.9986982249</v>
      </c>
      <c r="H22" s="28">
        <f>(C22+B21)/D22</f>
        <v>0.9827144686</v>
      </c>
      <c r="I22" s="28">
        <f>((B21*C22)-(C21*B22))/SQRT((B21+C21)*(B21+B22)*(C22+C21)*(C22+B22))</f>
        <v>0.07280365222</v>
      </c>
      <c r="J22" s="28">
        <f>C4*H2/(H4*(B21+B22))</f>
        <v>14.70701883</v>
      </c>
      <c r="K22" s="28">
        <f>((H2*C4)-((B21+B22)*H2))/(H2*C4-2*(B21+B22)*H2+(B21+B22)*H4)</f>
        <v>0.9501702757</v>
      </c>
      <c r="L22" s="29">
        <f>(I22+1)/2</f>
        <v>0.5364018261</v>
      </c>
      <c r="M22" s="29">
        <f>(2*B21)/(2*B21+C21+B22)</f>
        <v>0.04501607717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4</v>
      </c>
      <c r="C24" s="26">
        <f>I3</f>
        <v>114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278</v>
      </c>
      <c r="C25" s="25">
        <f>C3-I3</f>
        <v>16786</v>
      </c>
      <c r="D25" s="31">
        <f>SUM(B24:C25)</f>
        <v>17182</v>
      </c>
      <c r="F25" s="28">
        <f>B24/(B24+B25)</f>
        <v>0.01418439716</v>
      </c>
      <c r="G25" s="28">
        <f>C25/(C25+C24)</f>
        <v>0.9932544379</v>
      </c>
      <c r="H25" s="28">
        <f>(C25+B24)/D25</f>
        <v>0.9771854266</v>
      </c>
      <c r="I25" s="28">
        <f>((B24*C25)-(C24*B25))/SQRT((B24+C24)*(B24+B25)*(C25+C24)*(C25+B25))</f>
        <v>0.01144435733</v>
      </c>
      <c r="J25" s="28">
        <f>C4*I2/(I4*(B24+B25))</f>
        <v>2.065392475</v>
      </c>
      <c r="K25" s="28">
        <f>((I2*C4)-((B24+B25)*I2))/(I2*C4-2*(B24+B25)*I2+(B24+B25)*I4)</f>
        <v>0.6777078237</v>
      </c>
      <c r="L25" s="29">
        <f>(I25+1)/2</f>
        <v>0.5057221787</v>
      </c>
      <c r="M25" s="29">
        <f>(2*B24)/(2*B24+C24+B25)</f>
        <v>0.02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9" t="s">
        <v>66</v>
      </c>
      <c r="B27" s="25">
        <f>J$2</f>
        <v>0</v>
      </c>
      <c r="C27" s="26">
        <f>J$3</f>
        <v>1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282</v>
      </c>
      <c r="C28" s="25">
        <f>$C$3-J$3</f>
        <v>16899</v>
      </c>
      <c r="D28" s="27">
        <f>SUM(B27:C28)</f>
        <v>17182</v>
      </c>
      <c r="F28" s="28">
        <f>B27/(B27+B28)</f>
        <v>0</v>
      </c>
      <c r="G28" s="28">
        <f>C28/(C28+C27)</f>
        <v>0.9999408284</v>
      </c>
      <c r="H28" s="28">
        <f>(C28+B27)/D28</f>
        <v>0.9835292748</v>
      </c>
      <c r="I28" s="28">
        <f>((B27*C28)-(C27*B28))/SQRT((B27+C27)*(B27+B28)*(C28+C27)*(C28+B28))</f>
        <v>-0.000985500804</v>
      </c>
      <c r="J28" s="28">
        <f>$C$4*J$2/(J$4*(B27+B28))</f>
        <v>0</v>
      </c>
      <c r="K28" s="28">
        <f>((J$2*$C$4)-((B27+B28)*J$2))/(J$2*$C$4-2*(B27+B28)*J$2+(B27+B28)*J$4)</f>
        <v>0</v>
      </c>
      <c r="L28" s="29">
        <f>(I28+1)/2</f>
        <v>0.4995072496</v>
      </c>
      <c r="M28" s="29">
        <f>(2*B27)/(2*B27+C27+B28)</f>
        <v>0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11</v>
      </c>
      <c r="C30" s="26">
        <f>K$3</f>
        <v>247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271</v>
      </c>
      <c r="C31" s="25">
        <f>$C$3-K$3</f>
        <v>16653</v>
      </c>
      <c r="D31" s="27">
        <f>SUM(B30:C31)</f>
        <v>17182</v>
      </c>
      <c r="F31" s="28">
        <f>B30/(B30+B31)</f>
        <v>0.0390070922</v>
      </c>
      <c r="G31" s="28">
        <f>C31/(C31+C30)</f>
        <v>0.9853846154</v>
      </c>
      <c r="H31" s="28">
        <f>(C31+B30)/D31</f>
        <v>0.9698521709</v>
      </c>
      <c r="I31" s="28">
        <f>((B30*C31)-(C30*B31))/SQRT((B30+C30)*(B30+B31)*(C31+C30)*(C31+B31))</f>
        <v>0.02548289414</v>
      </c>
      <c r="J31" s="28">
        <f>$C$4*K$2/(K$4*(B30+B31))</f>
        <v>2.597751388</v>
      </c>
      <c r="K31" s="28">
        <f>((K$2*$C$4)-((B30+B31)*K$2))/(K$2*$C$4-2*(B30+B31)*K$2+(B30+B31)*K$4)</f>
        <v>0.7274392105</v>
      </c>
      <c r="L31" s="29">
        <f>(I31+1)/2</f>
        <v>0.5127414471</v>
      </c>
      <c r="M31" s="29">
        <f>(2*B30)/(2*B30+C30+B31)</f>
        <v>0.04074074074</v>
      </c>
    </row>
    <row r="32" ht="15.75" customHeight="1">
      <c r="K32" s="24"/>
      <c r="L32" s="29"/>
      <c r="M32" s="29"/>
    </row>
    <row r="33" ht="15.75" customHeight="1">
      <c r="A33" s="39" t="s">
        <v>68</v>
      </c>
      <c r="B33" s="25">
        <f>L$2</f>
        <v>0</v>
      </c>
      <c r="C33" s="26">
        <f>L$3</f>
        <v>0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282</v>
      </c>
      <c r="C34" s="25">
        <f>$C$3-L$3</f>
        <v>16900</v>
      </c>
      <c r="D34" s="27">
        <f>SUM(B33:C34)</f>
        <v>17182</v>
      </c>
      <c r="F34" s="28">
        <f>B33/(B33+B34)</f>
        <v>0</v>
      </c>
      <c r="G34" s="28">
        <f>C34/(C34+C33)</f>
        <v>1</v>
      </c>
      <c r="H34" s="28">
        <f>(C34+B33)/D34</f>
        <v>0.9835874753</v>
      </c>
      <c r="I34" s="28" t="str">
        <f>((B33*C34)-(C33*B34))/SQRT((B33+C33)*(B33+B34)*(C34+C33)*(C34+B34))</f>
        <v>#DIV/0!</v>
      </c>
      <c r="J34" s="28" t="str">
        <f>$C$4*L$2/(L$4*(B33+B34))</f>
        <v>#DIV/0!</v>
      </c>
      <c r="K34" s="28" t="str">
        <f>((L$2*$C$4)-((B33+B34)*L$2))/(L$2*$C$4-2*(B33+B34)*L$2+(B33+B34)*L$4)</f>
        <v>#DIV/0!</v>
      </c>
      <c r="L34" s="29" t="str">
        <f>(I34+1)/2</f>
        <v>#DIV/0!</v>
      </c>
      <c r="M34" s="29">
        <f>(2*B33)/(2*B33+C33+B34)</f>
        <v>0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142</v>
      </c>
      <c r="C36" s="26">
        <f>M$3</f>
        <v>4829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140</v>
      </c>
      <c r="C37" s="25">
        <f>$C$3-M$3</f>
        <v>12071</v>
      </c>
      <c r="D37" s="27">
        <f>SUM(B36:C37)</f>
        <v>17182</v>
      </c>
      <c r="F37" s="28">
        <f>B36/(B36+B37)</f>
        <v>0.5035460993</v>
      </c>
      <c r="G37" s="28">
        <f>C37/(C37+C36)</f>
        <v>0.714260355</v>
      </c>
      <c r="H37" s="28">
        <f>(C37+B36)/D37</f>
        <v>0.7108020021</v>
      </c>
      <c r="I37" s="28">
        <f>((B36*C37)-(C36*B37))/SQRT((B36+C36)*(B36+B37)*(C37+C36)*(C37+B37))</f>
        <v>0.06102968866</v>
      </c>
      <c r="J37" s="28">
        <f>$C$4*M$2/(M$4*(B36+B37))</f>
        <v>1.740480603</v>
      </c>
      <c r="K37" s="28">
        <f>((M$2*$C$4)-((B36+B37)*M$2))/(M$2*$C$4-2*(B36+B37)*M$2+(B36+B37)*M$4)</f>
        <v>0.6379769341</v>
      </c>
      <c r="L37" s="29">
        <f>(I37+1)/2</f>
        <v>0.5305148443</v>
      </c>
      <c r="M37" s="29">
        <f>(2*B36)/(2*B36+C36+B37)</f>
        <v>0.05406434418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11" width="8.86"/>
    <col customWidth="1" min="12" max="12" width="14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48.0</v>
      </c>
      <c r="C2" s="24">
        <v>48.0</v>
      </c>
      <c r="D2" s="24">
        <v>15.0</v>
      </c>
      <c r="E2" s="24">
        <v>15.0</v>
      </c>
      <c r="F2" s="24">
        <v>10.0</v>
      </c>
      <c r="G2" s="24">
        <v>26.0</v>
      </c>
      <c r="H2" s="24">
        <v>12.0</v>
      </c>
      <c r="I2" s="24">
        <v>3.0</v>
      </c>
      <c r="J2" s="24">
        <v>19.0</v>
      </c>
      <c r="K2" s="24">
        <v>0.0</v>
      </c>
      <c r="L2" s="24">
        <v>0.0</v>
      </c>
      <c r="M2" s="24">
        <v>15.0</v>
      </c>
    </row>
    <row r="3">
      <c r="A3" s="24" t="s">
        <v>71</v>
      </c>
      <c r="B3" s="24">
        <v>2850.0</v>
      </c>
      <c r="C3" s="24">
        <v>2850.0</v>
      </c>
      <c r="D3" s="24">
        <v>109.0</v>
      </c>
      <c r="E3" s="24">
        <v>167.0</v>
      </c>
      <c r="F3" s="24">
        <v>0.0</v>
      </c>
      <c r="G3" s="24">
        <v>276.0</v>
      </c>
      <c r="H3" s="24">
        <v>17.0</v>
      </c>
      <c r="I3" s="24">
        <v>4.0</v>
      </c>
      <c r="J3" s="24">
        <v>794.0</v>
      </c>
      <c r="K3" s="24">
        <v>0.0</v>
      </c>
      <c r="L3" s="24">
        <v>0.0</v>
      </c>
      <c r="M3" s="24">
        <v>52.0</v>
      </c>
    </row>
    <row r="4">
      <c r="A4" s="24" t="s">
        <v>72</v>
      </c>
      <c r="B4" s="24">
        <f t="shared" ref="B4:M4" si="1">SUM(B2:B3)</f>
        <v>2898</v>
      </c>
      <c r="C4" s="24">
        <f t="shared" si="1"/>
        <v>2898</v>
      </c>
      <c r="D4" s="24">
        <f t="shared" si="1"/>
        <v>124</v>
      </c>
      <c r="E4" s="24">
        <f t="shared" si="1"/>
        <v>182</v>
      </c>
      <c r="F4" s="24">
        <f t="shared" si="1"/>
        <v>10</v>
      </c>
      <c r="G4" s="24">
        <f t="shared" si="1"/>
        <v>302</v>
      </c>
      <c r="H4" s="24">
        <f t="shared" si="1"/>
        <v>29</v>
      </c>
      <c r="I4" s="24">
        <f t="shared" si="1"/>
        <v>7</v>
      </c>
      <c r="J4" s="24">
        <f t="shared" si="1"/>
        <v>813</v>
      </c>
      <c r="K4" s="24">
        <f t="shared" si="1"/>
        <v>0</v>
      </c>
      <c r="L4" s="24">
        <f t="shared" si="1"/>
        <v>0</v>
      </c>
      <c r="M4" s="24">
        <f t="shared" si="1"/>
        <v>67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15</v>
      </c>
      <c r="C9" s="26">
        <f>D3</f>
        <v>109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33</v>
      </c>
      <c r="C10" s="25">
        <f>C3-D3</f>
        <v>2741</v>
      </c>
      <c r="D10" s="27">
        <f>SUM(B9:C10)</f>
        <v>2898</v>
      </c>
      <c r="F10" s="34">
        <f>B9/(B9+B10)</f>
        <v>0.3125</v>
      </c>
      <c r="G10" s="34">
        <f>C10/(C10+C9)</f>
        <v>0.961754386</v>
      </c>
      <c r="H10" s="34">
        <f>(C10+B9)/D10</f>
        <v>0.9510006901</v>
      </c>
      <c r="I10" s="34">
        <f>((B9*C10)-(C9*B10))/SQRT((B9+C9)*(B9+B10)*(C10+C9)*(C10+B10))</f>
        <v>0.1729547761</v>
      </c>
      <c r="J10" s="34">
        <f>C4*D2/(D4*(B9+B10))</f>
        <v>7.303427419</v>
      </c>
      <c r="K10" s="34">
        <f>((D2*C4)-((B9+B10)*D2))/(D2*C4-2*(B9+B10)*D2+(B9+B10)*D4)</f>
        <v>0.8909591097</v>
      </c>
      <c r="L10" s="29">
        <f>(I10+1)/2</f>
        <v>0.586477388</v>
      </c>
      <c r="M10" s="29">
        <f>(2*B9)/(2*B9+C9+B10)</f>
        <v>0.1744186047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15</v>
      </c>
      <c r="C12" s="26">
        <f>E3</f>
        <v>167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33</v>
      </c>
      <c r="C13" s="25">
        <f>C3-E3</f>
        <v>2683</v>
      </c>
      <c r="D13" s="31">
        <f>SUM(B12:C13)</f>
        <v>2898</v>
      </c>
      <c r="F13" s="34">
        <f>B12/(B12+B13)</f>
        <v>0.3125</v>
      </c>
      <c r="G13" s="34">
        <f>C13/(C13+C12)</f>
        <v>0.9414035088</v>
      </c>
      <c r="H13" s="34">
        <f>(C13+B12)/D13</f>
        <v>0.9309868875</v>
      </c>
      <c r="I13" s="34">
        <f>((B12*C13)-(C12*B13))/SQRT((B12+C12)*(B12+B13)*(C13+C12)*(C13+B13))</f>
        <v>0.1335706915</v>
      </c>
      <c r="J13" s="34">
        <f>C4*E2/(E4*(B12+B13))</f>
        <v>4.975961538</v>
      </c>
      <c r="K13" s="34">
        <f>((E2*C4)-((B12+B13)*E2))/(E2*C4-2*(B12+B13)*E2+(B12+B13)*E4)</f>
        <v>0.8420990427</v>
      </c>
      <c r="L13" s="29">
        <f>(I13+1)/2</f>
        <v>0.5667853458</v>
      </c>
      <c r="M13" s="29">
        <f>(2*B12)/(2*B12+C12+B13)</f>
        <v>0.1304347826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10</v>
      </c>
      <c r="C15" s="26">
        <f>F3</f>
        <v>0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38</v>
      </c>
      <c r="C16" s="25">
        <f>C3-F3</f>
        <v>2850</v>
      </c>
      <c r="D16" s="31">
        <f>SUM(B15:C16)</f>
        <v>2898</v>
      </c>
      <c r="F16" s="28">
        <f>B15/(B15+B16)</f>
        <v>0.2083333333</v>
      </c>
      <c r="G16" s="28">
        <f>C16/(C16+C15)</f>
        <v>1</v>
      </c>
      <c r="H16" s="28">
        <f>(C16+B15)/D16</f>
        <v>0.9868875086</v>
      </c>
      <c r="I16" s="28">
        <f>((B15*C16)-(C15*B16))/SQRT((B15+C15)*(B15+B16)*(C16+C15)*(C16+B16))</f>
        <v>0.4534226563</v>
      </c>
      <c r="J16" s="28">
        <f>C4*F2/(F4*(B15+B16))</f>
        <v>60.375</v>
      </c>
      <c r="K16" s="28">
        <f>((F2*C4)-((B15+B16)*F2))/(F2*C4-2*(B15+B16)*F2+(B15+B16)*F4)</f>
        <v>1</v>
      </c>
      <c r="L16" s="29">
        <f>(I16+1)/2</f>
        <v>0.7267113282</v>
      </c>
      <c r="M16" s="29">
        <f>(2*B15)/(2*B15+C15+B16)</f>
        <v>0.3448275862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26</v>
      </c>
      <c r="C18" s="26">
        <f>G3</f>
        <v>276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22</v>
      </c>
      <c r="C19" s="25">
        <f>C3-G3</f>
        <v>2574</v>
      </c>
      <c r="D19" s="31">
        <f>SUM(B18:C19)</f>
        <v>2898</v>
      </c>
      <c r="F19" s="28">
        <f>B18/(B18+B19)</f>
        <v>0.5416666667</v>
      </c>
      <c r="G19" s="28">
        <f>C19/(C19+C18)</f>
        <v>0.9031578947</v>
      </c>
      <c r="H19" s="28">
        <f>(C19+B18)/D19</f>
        <v>0.8971704624</v>
      </c>
      <c r="I19" s="28">
        <f>((B18*C19)-(C18*B19))/SQRT((B18+C18)*(B18+B19)*(C19+C18)*(C19+B19))</f>
        <v>0.185812956</v>
      </c>
      <c r="J19" s="28">
        <f>C4*G2/(G4*(B18+B19))</f>
        <v>5.197847682</v>
      </c>
      <c r="K19" s="28">
        <f>((G2*C4)-((B18+B19)*G2))/(G2*C4-2*(B18+B19)*G2+(B18+B19)*G4)</f>
        <v>0.8483308147</v>
      </c>
      <c r="L19" s="29">
        <f>(I19+1)/2</f>
        <v>0.592906478</v>
      </c>
      <c r="M19" s="29">
        <f>(2*B18)/(2*B18+C18+B19)</f>
        <v>0.1485714286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12</v>
      </c>
      <c r="C21" s="26">
        <f>H3</f>
        <v>17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36</v>
      </c>
      <c r="C22" s="25">
        <f>C3-H3</f>
        <v>2833</v>
      </c>
      <c r="D22" s="31">
        <f>SUM(B21:C22)</f>
        <v>2898</v>
      </c>
      <c r="F22" s="28">
        <f>B21/(B21+B22)</f>
        <v>0.25</v>
      </c>
      <c r="G22" s="28">
        <f>C22/(C22+C21)</f>
        <v>0.9940350877</v>
      </c>
      <c r="H22" s="28">
        <f>(C22+B21)/D22</f>
        <v>0.9817115252</v>
      </c>
      <c r="I22" s="28">
        <f>((B21*C22)-(C21*B22))/SQRT((B21+C21)*(B21+B22)*(C22+C21)*(C22+B22))</f>
        <v>0.3129183632</v>
      </c>
      <c r="J22" s="28">
        <f>C4*H2/(H4*(B21+B22))</f>
        <v>24.98275862</v>
      </c>
      <c r="K22" s="28">
        <f>((H2*C4)-((B21+B22)*H2))/(H2*C4-2*(B21+B22)*H2+(B21+B22)*H4)</f>
        <v>0.9766963674</v>
      </c>
      <c r="L22" s="29">
        <f>(I22+1)/2</f>
        <v>0.6564591816</v>
      </c>
      <c r="M22" s="29">
        <f>(2*B21)/(2*B21+C21+B22)</f>
        <v>0.3116883117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3</v>
      </c>
      <c r="C24" s="26">
        <f>I3</f>
        <v>4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45</v>
      </c>
      <c r="C25" s="25">
        <f>C3-I3</f>
        <v>2846</v>
      </c>
      <c r="D25" s="31">
        <f>SUM(B24:C25)</f>
        <v>2898</v>
      </c>
      <c r="F25" s="28">
        <f>B24/(B24+B25)</f>
        <v>0.0625</v>
      </c>
      <c r="G25" s="28">
        <f>C25/(C25+C24)</f>
        <v>0.9985964912</v>
      </c>
      <c r="H25" s="28">
        <f>(C25+B24)/D25</f>
        <v>0.9830917874</v>
      </c>
      <c r="I25" s="28">
        <f>((B24*C25)-(C24*B25))/SQRT((B24+C24)*(B24+B25)*(C25+C24)*(C25+B25))</f>
        <v>0.1588496463</v>
      </c>
      <c r="J25" s="28">
        <f>C4*I2/(I4*(B24+B25))</f>
        <v>25.875</v>
      </c>
      <c r="K25" s="28">
        <f>((I2*C4)-((B24+B25)*I2))/(I2*C4-2*(B24+B25)*I2+(B24+B25)*I4)</f>
        <v>0.9780370625</v>
      </c>
      <c r="L25" s="29">
        <f>(I25+1)/2</f>
        <v>0.5794248232</v>
      </c>
      <c r="M25" s="29">
        <f>(2*B24)/(2*B24+C24+B25)</f>
        <v>0.1090909091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19</v>
      </c>
      <c r="C27" s="26">
        <f>J$3</f>
        <v>794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29</v>
      </c>
      <c r="C28" s="25">
        <f>$C$3-J$3</f>
        <v>2056</v>
      </c>
      <c r="D28" s="27">
        <f>SUM(B27:C28)</f>
        <v>2898</v>
      </c>
      <c r="F28" s="28">
        <f>B27/(B27+B28)</f>
        <v>0.3958333333</v>
      </c>
      <c r="G28" s="28">
        <f>C28/(C28+C27)</f>
        <v>0.7214035088</v>
      </c>
      <c r="H28" s="28">
        <f>(C28+B27)/D28</f>
        <v>0.7160110421</v>
      </c>
      <c r="I28" s="28">
        <f>((B27*C28)-(C27*B28))/SQRT((B27+C27)*(B27+B28)*(C28+C27)*(C28+B28))</f>
        <v>0.03330495552</v>
      </c>
      <c r="J28" s="28">
        <f>$C$4*J$2/(J$4*(B27+B28))</f>
        <v>1.41097786</v>
      </c>
      <c r="K28" s="28">
        <f>((J$2*$C$4)-((B27+B28)*J$2))/(J$2*$C$4-2*(B27+B28)*J$2+(B27+B28)*J$4)</f>
        <v>0.5869155232</v>
      </c>
      <c r="L28" s="29">
        <f>(I28+1)/2</f>
        <v>0.5166524778</v>
      </c>
      <c r="M28" s="29">
        <f>(2*B27)/(2*B27+C27+B28)</f>
        <v>0.04413472706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0</v>
      </c>
      <c r="C30" s="26">
        <f>K$3</f>
        <v>0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48</v>
      </c>
      <c r="C31" s="25">
        <f>$C$3-K$3</f>
        <v>2850</v>
      </c>
      <c r="D31" s="27">
        <f>SUM(B30:C31)</f>
        <v>2898</v>
      </c>
      <c r="F31" s="28">
        <f>B30/(B30+B31)</f>
        <v>0</v>
      </c>
      <c r="G31" s="28">
        <f>C31/(C31+C30)</f>
        <v>1</v>
      </c>
      <c r="H31" s="28">
        <f>(C31+B30)/D31</f>
        <v>0.983436853</v>
      </c>
      <c r="I31" s="28" t="str">
        <f>((B30*C31)-(C30*B31))/SQRT((B30+C30)*(B30+B31)*(C31+C30)*(C31+B31))</f>
        <v>#DIV/0!</v>
      </c>
      <c r="J31" s="28" t="str">
        <f>$C$4*K$2/(K$4*(B30+B31))</f>
        <v>#DIV/0!</v>
      </c>
      <c r="K31" s="28" t="str">
        <f>((K$2*$C$4)-((B30+B31)*K$2))/(K$2*$C$4-2*(B30+B31)*K$2+(B30+B31)*K$4)</f>
        <v>#DIV/0!</v>
      </c>
      <c r="L31" s="29" t="str">
        <f>(I31+1)/2</f>
        <v>#DIV/0!</v>
      </c>
      <c r="M31" s="29">
        <f>(2*B30)/(2*B30+C30+B31)</f>
        <v>0</v>
      </c>
    </row>
    <row r="32" ht="15.75" customHeight="1">
      <c r="F32" s="40"/>
      <c r="G32" s="40"/>
      <c r="H32" s="40"/>
      <c r="I32" s="40"/>
      <c r="J32" s="40"/>
      <c r="K32" s="24"/>
      <c r="L32" s="29"/>
      <c r="M32" s="29"/>
    </row>
    <row r="33" ht="15.75" customHeight="1">
      <c r="A33" s="39" t="s">
        <v>68</v>
      </c>
      <c r="B33" s="25">
        <f>L$2</f>
        <v>0</v>
      </c>
      <c r="C33" s="26">
        <f>L$3</f>
        <v>0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48</v>
      </c>
      <c r="C34" s="25">
        <f>$C$3-L$3</f>
        <v>2850</v>
      </c>
      <c r="D34" s="27">
        <f>SUM(B33:C34)</f>
        <v>2898</v>
      </c>
      <c r="F34" s="28">
        <f>B33/(B33+B34)</f>
        <v>0</v>
      </c>
      <c r="G34" s="28">
        <f>C34/(C34+C33)</f>
        <v>1</v>
      </c>
      <c r="H34" s="28">
        <f>(C34+B33)/D34</f>
        <v>0.983436853</v>
      </c>
      <c r="I34" s="28" t="str">
        <f>((B33*C34)-(C33*B34))/SQRT((B33+C33)*(B33+B34)*(C34+C33)*(C34+B34))</f>
        <v>#DIV/0!</v>
      </c>
      <c r="J34" s="28" t="str">
        <f>$C$4*L$2/(L$4*(B33+B34))</f>
        <v>#DIV/0!</v>
      </c>
      <c r="K34" s="28" t="str">
        <f>((L$2*$C$4)-((B33+B34)*L$2))/(L$2*$C$4-2*(B33+B34)*L$2+(B33+B34)*L$4)</f>
        <v>#DIV/0!</v>
      </c>
      <c r="L34" s="29" t="str">
        <f>(I34+1)/2</f>
        <v>#DIV/0!</v>
      </c>
      <c r="M34" s="29">
        <f>(2*B33)/(2*B33+C33+B34)</f>
        <v>0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15</v>
      </c>
      <c r="C36" s="26">
        <f>M$3</f>
        <v>52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33</v>
      </c>
      <c r="C37" s="25">
        <f>$C$3-M$3</f>
        <v>2798</v>
      </c>
      <c r="D37" s="27">
        <f>SUM(B36:C37)</f>
        <v>2898</v>
      </c>
      <c r="F37" s="28">
        <f>B36/(B36+B37)</f>
        <v>0.3125</v>
      </c>
      <c r="G37" s="28">
        <f>C37/(C37+C36)</f>
        <v>0.981754386</v>
      </c>
      <c r="H37" s="28">
        <f>(C37+B36)/D37</f>
        <v>0.9706694272</v>
      </c>
      <c r="I37" s="28">
        <f>((B36*C37)-(C36*B37))/SQRT((B36+C36)*(B36+B37)*(C37+C36)*(C37+B37))</f>
        <v>0.2498956277</v>
      </c>
      <c r="J37" s="28">
        <f>$C$4*M$2/(M$4*(B36+B37))</f>
        <v>13.51679104</v>
      </c>
      <c r="K37" s="28">
        <f>((M$2*$C$4)-((B36+B37)*M$2))/(M$2*$C$4-2*(B36+B37)*M$2+(B36+B37)*M$4)</f>
        <v>0.9448349025</v>
      </c>
      <c r="L37" s="29">
        <f>(I37+1)/2</f>
        <v>0.6249478138</v>
      </c>
      <c r="M37" s="29">
        <f>(2*B36)/(2*B36+C36+B37)</f>
        <v>0.2608695652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8" width="8.86"/>
    <col customWidth="1" min="9" max="9" width="14.14"/>
    <col customWidth="1" min="10" max="11" width="8.86"/>
    <col customWidth="1" min="12" max="12" width="14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40.0</v>
      </c>
      <c r="C2" s="24">
        <v>40.0</v>
      </c>
      <c r="D2" s="24">
        <v>18.0</v>
      </c>
      <c r="E2" s="24">
        <v>17.0</v>
      </c>
      <c r="F2" s="24">
        <v>15.0</v>
      </c>
      <c r="G2" s="24">
        <v>24.0</v>
      </c>
      <c r="H2" s="24">
        <v>17.0</v>
      </c>
      <c r="I2" s="24">
        <v>0.0</v>
      </c>
      <c r="J2" s="24">
        <v>23.0</v>
      </c>
      <c r="K2" s="24">
        <v>40.0</v>
      </c>
      <c r="L2" s="24">
        <v>0.0</v>
      </c>
      <c r="M2" s="24">
        <v>35.0</v>
      </c>
    </row>
    <row r="3">
      <c r="A3" s="24" t="s">
        <v>71</v>
      </c>
      <c r="B3" s="24">
        <v>3406.0</v>
      </c>
      <c r="C3" s="24">
        <v>3406.0</v>
      </c>
      <c r="D3" s="24">
        <v>73.0</v>
      </c>
      <c r="E3" s="24">
        <v>52.0</v>
      </c>
      <c r="F3" s="24">
        <v>0.0</v>
      </c>
      <c r="G3" s="24">
        <v>1351.0</v>
      </c>
      <c r="H3" s="24">
        <v>41.0</v>
      </c>
      <c r="I3" s="24">
        <v>0.0</v>
      </c>
      <c r="J3" s="24">
        <v>595.0</v>
      </c>
      <c r="K3" s="24">
        <v>2086.0</v>
      </c>
      <c r="L3" s="24">
        <v>0.0</v>
      </c>
      <c r="M3" s="24">
        <v>1403.0</v>
      </c>
    </row>
    <row r="4">
      <c r="A4" s="24" t="s">
        <v>72</v>
      </c>
      <c r="B4" s="24">
        <f t="shared" ref="B4:M4" si="1">SUM(B2:B3)</f>
        <v>3446</v>
      </c>
      <c r="C4" s="24">
        <f t="shared" si="1"/>
        <v>3446</v>
      </c>
      <c r="D4" s="24">
        <f t="shared" si="1"/>
        <v>91</v>
      </c>
      <c r="E4" s="24">
        <f t="shared" si="1"/>
        <v>69</v>
      </c>
      <c r="F4" s="24">
        <f t="shared" si="1"/>
        <v>15</v>
      </c>
      <c r="G4" s="24">
        <f t="shared" si="1"/>
        <v>1375</v>
      </c>
      <c r="H4" s="24">
        <f t="shared" si="1"/>
        <v>58</v>
      </c>
      <c r="I4" s="24">
        <f t="shared" si="1"/>
        <v>0</v>
      </c>
      <c r="J4" s="24">
        <f t="shared" si="1"/>
        <v>618</v>
      </c>
      <c r="K4" s="24">
        <f t="shared" si="1"/>
        <v>2126</v>
      </c>
      <c r="L4" s="24">
        <f t="shared" si="1"/>
        <v>0</v>
      </c>
      <c r="M4" s="24">
        <f t="shared" si="1"/>
        <v>1438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18</v>
      </c>
      <c r="C9" s="26">
        <f>D3</f>
        <v>73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22</v>
      </c>
      <c r="C10" s="25">
        <f>C3-D3</f>
        <v>3333</v>
      </c>
      <c r="D10" s="27">
        <f>SUM(B9:C10)</f>
        <v>3446</v>
      </c>
      <c r="F10" s="34">
        <f>B9/(B9+B10)</f>
        <v>0.45</v>
      </c>
      <c r="G10" s="34">
        <f>C10/(C10+C9)</f>
        <v>0.9785672343</v>
      </c>
      <c r="H10" s="34">
        <f>(C10+B9)/D10</f>
        <v>0.972431805</v>
      </c>
      <c r="I10" s="34">
        <f>((B9*C10)-(C9*B10))/SQRT((B9+C9)*(B9+B10)*(C10+C9)*(C10+B10))</f>
        <v>0.2862887771</v>
      </c>
      <c r="J10" s="34">
        <f>C4*D2/(D4*(B9+B10))</f>
        <v>17.04065934</v>
      </c>
      <c r="K10" s="34">
        <f>((D2*C4)-((B9+B10)*D2))/(D2*C4-2*(B9+B10)*D2+(B9+B10)*D4)</f>
        <v>0.9545369621</v>
      </c>
      <c r="L10" s="29">
        <f>(I10+1)/2</f>
        <v>0.6431443886</v>
      </c>
      <c r="M10" s="29">
        <f>(2*B9)/(2*B9+C9+B10)</f>
        <v>0.2748091603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17</v>
      </c>
      <c r="C12" s="26">
        <f>E3</f>
        <v>52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23</v>
      </c>
      <c r="C13" s="25">
        <f>C3-E3</f>
        <v>3354</v>
      </c>
      <c r="D13" s="31">
        <f>SUM(B12:C13)</f>
        <v>3446</v>
      </c>
      <c r="F13" s="34">
        <f>B12/(B12+B13)</f>
        <v>0.425</v>
      </c>
      <c r="G13" s="34">
        <f>C13/(C13+C12)</f>
        <v>0.9847328244</v>
      </c>
      <c r="H13" s="34">
        <f>(C13+B12)/D13</f>
        <v>0.9782356355</v>
      </c>
      <c r="I13" s="34">
        <f>((B12*C13)-(C12*B13))/SQRT((B12+C12)*(B12+B13)*(C13+C12)*(C13+B13))</f>
        <v>0.3133018788</v>
      </c>
      <c r="J13" s="34">
        <f>C4*E2/(E4*(B12+B13))</f>
        <v>21.22536232</v>
      </c>
      <c r="K13" s="34">
        <f>((E2*C4)-((B12+B13)*E2))/(E2*C4-2*(B12+B13)*E2+(B12+B13)*E4)</f>
        <v>0.9653229302</v>
      </c>
      <c r="L13" s="29">
        <f>(I13+1)/2</f>
        <v>0.6566509394</v>
      </c>
      <c r="M13" s="29">
        <f>(2*B12)/(2*B12+C12+B13)</f>
        <v>0.3119266055</v>
      </c>
    </row>
    <row r="14">
      <c r="F14" s="34"/>
      <c r="G14" s="34"/>
      <c r="H14" s="34"/>
      <c r="I14" s="34"/>
      <c r="J14" s="34"/>
      <c r="K14" s="34"/>
      <c r="L14" s="29"/>
      <c r="M14" s="29"/>
    </row>
    <row r="15">
      <c r="A15" s="27" t="s">
        <v>62</v>
      </c>
      <c r="B15" s="25">
        <f>F2</f>
        <v>15</v>
      </c>
      <c r="C15" s="26">
        <f>F3</f>
        <v>0</v>
      </c>
      <c r="F15" s="32" t="s">
        <v>77</v>
      </c>
      <c r="G15" s="32" t="s">
        <v>78</v>
      </c>
      <c r="H15" s="32" t="s">
        <v>15</v>
      </c>
      <c r="I15" s="32" t="s">
        <v>79</v>
      </c>
      <c r="J15" s="32" t="s">
        <v>80</v>
      </c>
      <c r="K15" s="32" t="s">
        <v>81</v>
      </c>
      <c r="L15" s="32" t="s">
        <v>82</v>
      </c>
      <c r="M15" s="32" t="s">
        <v>83</v>
      </c>
    </row>
    <row r="16">
      <c r="B16" s="26">
        <f>C2-F2</f>
        <v>25</v>
      </c>
      <c r="C16" s="25">
        <f>C3-F3</f>
        <v>3406</v>
      </c>
      <c r="D16" s="31">
        <f>SUM(B15:C16)</f>
        <v>3446</v>
      </c>
      <c r="F16" s="34">
        <f>B15/(B15+B16)</f>
        <v>0.375</v>
      </c>
      <c r="G16" s="34">
        <f>C16/(C16+C15)</f>
        <v>1</v>
      </c>
      <c r="H16" s="34">
        <f>(C16+B15)/D16</f>
        <v>0.9927452118</v>
      </c>
      <c r="I16" s="34">
        <f>((B15*C16)-(C15*B16))/SQRT((B15+C15)*(B15+B16)*(C16+C15)*(C16+B16))</f>
        <v>0.6101373292</v>
      </c>
      <c r="J16" s="34">
        <f>C4*F2/(F4*(B15+B16))</f>
        <v>86.15</v>
      </c>
      <c r="K16" s="34">
        <f>((F2*C4)-((B15+B16)*F2))/(F2*C4-2*(B15+B16)*F2+(B15+B16)*F4)</f>
        <v>1</v>
      </c>
      <c r="L16" s="29">
        <f>(I16+1)/2</f>
        <v>0.8050686646</v>
      </c>
      <c r="M16" s="29">
        <f>(2*B15)/(2*B15+C15+B16)</f>
        <v>0.5454545455</v>
      </c>
    </row>
    <row r="17">
      <c r="F17" s="34"/>
      <c r="G17" s="34"/>
      <c r="H17" s="34"/>
      <c r="I17" s="34"/>
      <c r="J17" s="34"/>
      <c r="K17" s="34"/>
      <c r="L17" s="29"/>
      <c r="M17" s="29"/>
    </row>
    <row r="18">
      <c r="A18" s="27" t="s">
        <v>63</v>
      </c>
      <c r="B18" s="25">
        <f>G2</f>
        <v>24</v>
      </c>
      <c r="C18" s="26">
        <f>G3</f>
        <v>1351</v>
      </c>
      <c r="F18" s="32" t="s">
        <v>77</v>
      </c>
      <c r="G18" s="32" t="s">
        <v>78</v>
      </c>
      <c r="H18" s="32" t="s">
        <v>15</v>
      </c>
      <c r="I18" s="32" t="s">
        <v>79</v>
      </c>
      <c r="J18" s="32" t="s">
        <v>80</v>
      </c>
      <c r="K18" s="32" t="s">
        <v>81</v>
      </c>
      <c r="L18" s="32" t="s">
        <v>82</v>
      </c>
      <c r="M18" s="32" t="s">
        <v>83</v>
      </c>
    </row>
    <row r="19">
      <c r="B19" s="26">
        <f>C2-G2</f>
        <v>16</v>
      </c>
      <c r="C19" s="25">
        <f>C3-G3</f>
        <v>2055</v>
      </c>
      <c r="D19" s="31">
        <f>SUM(B18:C19)</f>
        <v>3446</v>
      </c>
      <c r="F19" s="34">
        <f>B18/(B18+B19)</f>
        <v>0.6</v>
      </c>
      <c r="G19" s="34">
        <f>C19/(C19+C18)</f>
        <v>0.6033470346</v>
      </c>
      <c r="H19" s="34">
        <f>(C19+B18)/D19</f>
        <v>0.6033081834</v>
      </c>
      <c r="I19" s="34">
        <f>((B18*C19)-(C18*B19))/SQRT((B18+C18)*(B18+B19)*(C19+C18)*(C19+B19))</f>
        <v>0.04447835968</v>
      </c>
      <c r="J19" s="34">
        <f>C4*G2/(G4*(B18+B19))</f>
        <v>1.503709091</v>
      </c>
      <c r="K19" s="34">
        <f>((G2*C4)-((B18+B19)*G2))/(G2*C4-2*(B18+B19)*G2+(B18+B19)*G4)</f>
        <v>0.6020149649</v>
      </c>
      <c r="L19" s="29">
        <f>(I19+1)/2</f>
        <v>0.5222391798</v>
      </c>
      <c r="M19" s="29">
        <f>(2*B18)/(2*B18+C18+B19)</f>
        <v>0.03392226148</v>
      </c>
    </row>
    <row r="20">
      <c r="F20" s="34"/>
      <c r="G20" s="34"/>
      <c r="H20" s="34"/>
      <c r="I20" s="34"/>
      <c r="J20" s="34"/>
      <c r="K20" s="34"/>
      <c r="L20" s="29"/>
      <c r="M20" s="29"/>
    </row>
    <row r="21" ht="15.75" customHeight="1">
      <c r="A21" s="27" t="s">
        <v>64</v>
      </c>
      <c r="B21" s="25">
        <f>H2</f>
        <v>17</v>
      </c>
      <c r="C21" s="26">
        <f>H3</f>
        <v>41</v>
      </c>
      <c r="F21" s="32" t="s">
        <v>77</v>
      </c>
      <c r="G21" s="32" t="s">
        <v>78</v>
      </c>
      <c r="H21" s="32" t="s">
        <v>15</v>
      </c>
      <c r="I21" s="32" t="s">
        <v>79</v>
      </c>
      <c r="J21" s="32" t="s">
        <v>80</v>
      </c>
      <c r="K21" s="32" t="s">
        <v>81</v>
      </c>
      <c r="L21" s="32" t="s">
        <v>82</v>
      </c>
      <c r="M21" s="32" t="s">
        <v>83</v>
      </c>
    </row>
    <row r="22" ht="15.75" customHeight="1">
      <c r="B22" s="26">
        <f>C2-H2</f>
        <v>23</v>
      </c>
      <c r="C22" s="25">
        <f>C3-H3</f>
        <v>3365</v>
      </c>
      <c r="D22" s="31">
        <f>SUM(B21:C22)</f>
        <v>3446</v>
      </c>
      <c r="F22" s="34">
        <f>B21/(B21+B22)</f>
        <v>0.425</v>
      </c>
      <c r="G22" s="34">
        <f>C22/(C22+C21)</f>
        <v>0.9879624193</v>
      </c>
      <c r="H22" s="34">
        <f>(C22+B21)/D22</f>
        <v>0.9814277423</v>
      </c>
      <c r="I22" s="34">
        <f>((B21*C22)-(C21*B22))/SQRT((B21+C21)*(B21+B22)*(C22+C21)*(C22+B22))</f>
        <v>0.3438564311</v>
      </c>
      <c r="J22" s="34">
        <f>C4*H2/(H4*(B21+B22))</f>
        <v>25.25086207</v>
      </c>
      <c r="K22" s="34">
        <f>((H2*C4)-((B21+B22)*H2))/(H2*C4-2*(B21+B22)*H2+(B21+B22)*H4)</f>
        <v>0.9724564173</v>
      </c>
      <c r="L22" s="29">
        <f>(I22+1)/2</f>
        <v>0.6719282155</v>
      </c>
      <c r="M22" s="29">
        <f>(2*B21)/(2*B21+C21+B22)</f>
        <v>0.3469387755</v>
      </c>
    </row>
    <row r="23" ht="15.75" customHeight="1">
      <c r="F23" s="29"/>
      <c r="G23" s="29"/>
      <c r="H23" s="29"/>
      <c r="I23" s="29"/>
      <c r="J23" s="29"/>
      <c r="K23" s="29"/>
      <c r="L23" s="29"/>
      <c r="M23" s="29"/>
    </row>
    <row r="24" ht="15.75" customHeight="1">
      <c r="A24" s="39" t="s">
        <v>65</v>
      </c>
      <c r="B24" s="25">
        <f>I2</f>
        <v>0</v>
      </c>
      <c r="C24" s="26">
        <f>I3</f>
        <v>0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40</v>
      </c>
      <c r="C25" s="25">
        <f>C3-I3</f>
        <v>3406</v>
      </c>
      <c r="D25" s="31">
        <f>SUM(B24:C25)</f>
        <v>3446</v>
      </c>
      <c r="F25" s="28">
        <f>B24/(B24+B25)</f>
        <v>0</v>
      </c>
      <c r="G25" s="28">
        <f>C25/(C25+C24)</f>
        <v>1</v>
      </c>
      <c r="H25" s="28">
        <f>(C25+B24)/D25</f>
        <v>0.9883923389</v>
      </c>
      <c r="I25" s="28" t="str">
        <f>((B24*C25)-(C24*B25))/SQRT((B24+C24)*(B24+B25)*(C25+C24)*(C25+B25))</f>
        <v>#DIV/0!</v>
      </c>
      <c r="J25" s="28" t="str">
        <f>C4*I2/(I4*(B24+B25))</f>
        <v>#DIV/0!</v>
      </c>
      <c r="K25" s="28" t="str">
        <f>((I2*C4)-((B24+B25)*I2))/(I2*C4-2*(B24+B25)*I2+(B24+B25)*I4)</f>
        <v>#DIV/0!</v>
      </c>
      <c r="L25" s="29" t="str">
        <f>(I25+1)/2</f>
        <v>#DIV/0!</v>
      </c>
      <c r="M25" s="29">
        <f>(2*B24)/(2*B24+C24+B25)</f>
        <v>0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23</v>
      </c>
      <c r="C27" s="26">
        <f>J$3</f>
        <v>595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17</v>
      </c>
      <c r="C28" s="25">
        <f>$C$3-J$3</f>
        <v>2811</v>
      </c>
      <c r="D28" s="27">
        <f>SUM(B27:C28)</f>
        <v>3446</v>
      </c>
      <c r="F28" s="28">
        <f>B27/(B27+B28)</f>
        <v>0.575</v>
      </c>
      <c r="G28" s="28">
        <f>C28/(C28+C27)</f>
        <v>0.8253082795</v>
      </c>
      <c r="H28" s="28">
        <f>(C28+B27)/D28</f>
        <v>0.8224027858</v>
      </c>
      <c r="I28" s="28">
        <f>((B27*C28)-(C27*B28))/SQRT((B27+C27)*(B27+B28)*(C28+C27)*(C28+B28))</f>
        <v>0.1117668343</v>
      </c>
      <c r="J28" s="28">
        <f>$C$4*J$2/(J$4*(B27+B28))</f>
        <v>3.206229773</v>
      </c>
      <c r="K28" s="28">
        <f>((J$2*$C$4)-((B27+B28)*J$2))/(J$2*$C$4-2*(B27+B28)*J$2+(B27+B28)*J$4)</f>
        <v>0.7669819264</v>
      </c>
      <c r="L28" s="29">
        <f>(I28+1)/2</f>
        <v>0.5558834171</v>
      </c>
      <c r="M28" s="29">
        <f>(2*B27)/(2*B27+C27+B28)</f>
        <v>0.06990881459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40</v>
      </c>
      <c r="C30" s="26">
        <f>K$3</f>
        <v>2086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0</v>
      </c>
      <c r="C31" s="25">
        <f>$C$3-K$3</f>
        <v>1320</v>
      </c>
      <c r="D31" s="27">
        <f>SUM(B30:C31)</f>
        <v>3446</v>
      </c>
      <c r="F31" s="28">
        <f>B30/(B30+B31)</f>
        <v>1</v>
      </c>
      <c r="G31" s="28">
        <f>C31/(C31+C30)</f>
        <v>0.3875513799</v>
      </c>
      <c r="H31" s="28">
        <f>(C31+B30)/D31</f>
        <v>0.3946604759</v>
      </c>
      <c r="I31" s="28">
        <f>((B30*C31)-(C30*B31))/SQRT((B30+C30)*(B30+B31)*(C31+C30)*(C31+B31))</f>
        <v>0.08539117889</v>
      </c>
      <c r="J31" s="28">
        <f>$C$4*K$2/(K$4*(B30+B31))</f>
        <v>1.62088429</v>
      </c>
      <c r="K31" s="28">
        <f>((K$2*$C$4)-((B30+B31)*K$2))/(K$2*$C$4-2*(B30+B31)*K$2+(B30+B31)*K$4)</f>
        <v>0.6201747997</v>
      </c>
      <c r="L31" s="29">
        <f>(I31+1)/2</f>
        <v>0.5426955894</v>
      </c>
      <c r="M31" s="29">
        <f>(2*B30)/(2*B30+C30+B31)</f>
        <v>0.03693444137</v>
      </c>
    </row>
    <row r="32" ht="15.75" customHeight="1">
      <c r="K32" s="24"/>
      <c r="L32" s="29"/>
      <c r="M32" s="29"/>
    </row>
    <row r="33" ht="15.75" customHeight="1">
      <c r="A33" s="39" t="s">
        <v>68</v>
      </c>
      <c r="B33" s="25">
        <f>L$2</f>
        <v>0</v>
      </c>
      <c r="C33" s="26">
        <f>L$3</f>
        <v>0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40</v>
      </c>
      <c r="C34" s="25">
        <f>$C$3-L$3</f>
        <v>3406</v>
      </c>
      <c r="D34" s="27">
        <f>SUM(B33:C34)</f>
        <v>3446</v>
      </c>
      <c r="F34" s="28">
        <f>B33/(B33+B34)</f>
        <v>0</v>
      </c>
      <c r="G34" s="28">
        <f>C34/(C34+C33)</f>
        <v>1</v>
      </c>
      <c r="H34" s="28">
        <f>(C34+B33)/D34</f>
        <v>0.9883923389</v>
      </c>
      <c r="I34" s="28" t="str">
        <f>((B33*C34)-(C33*B34))/SQRT((B33+C33)*(B33+B34)*(C34+C33)*(C34+B34))</f>
        <v>#DIV/0!</v>
      </c>
      <c r="J34" s="28" t="str">
        <f>$C$4*L$2/(L$4*(B33+B34))</f>
        <v>#DIV/0!</v>
      </c>
      <c r="K34" s="28" t="str">
        <f>((L$2*$C$4)-((B33+B34)*L$2))/(L$2*$C$4-2*(B33+B34)*L$2+(B33+B34)*L$4)</f>
        <v>#DIV/0!</v>
      </c>
      <c r="L34" s="29" t="str">
        <f>(I34+1)/2</f>
        <v>#DIV/0!</v>
      </c>
      <c r="M34" s="29">
        <f>(2*B33)/(2*B33+C33+B34)</f>
        <v>0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35</v>
      </c>
      <c r="C36" s="26">
        <f>M$3</f>
        <v>1403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5</v>
      </c>
      <c r="C37" s="25">
        <f>$C$3-M$3</f>
        <v>2003</v>
      </c>
      <c r="D37" s="27">
        <f>SUM(B36:C37)</f>
        <v>3446</v>
      </c>
      <c r="F37" s="28">
        <f>B36/(B36+B37)</f>
        <v>0.875</v>
      </c>
      <c r="G37" s="28">
        <f>C37/(C37+C36)</f>
        <v>0.5880798591</v>
      </c>
      <c r="H37" s="28">
        <f>(C37+B36)/D37</f>
        <v>0.5914103308</v>
      </c>
      <c r="I37" s="28">
        <f>((B36*C37)-(C36*B37))/SQRT((B36+C36)*(B36+B37)*(C37+C36)*(C37+B37))</f>
        <v>0.1005881713</v>
      </c>
      <c r="J37" s="28">
        <f>$C$4*M$2/(M$4*(B36+B37))</f>
        <v>2.096835883</v>
      </c>
      <c r="K37" s="28">
        <f>((M$2*$C$4)-((B36+B37)*M$2))/(M$2*$C$4-2*(B36+B37)*M$2+(B36+B37)*M$4)</f>
        <v>0.6799178692</v>
      </c>
      <c r="L37" s="29">
        <f>(I37+1)/2</f>
        <v>0.5502940856</v>
      </c>
      <c r="M37" s="29">
        <f>(2*B36)/(2*B36+C36+B37)</f>
        <v>0.04736129905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9" width="10.14"/>
    <col customWidth="1" min="10" max="10" width="11.14"/>
    <col customWidth="1" min="11" max="11" width="10.14"/>
    <col customWidth="1" min="12" max="12" width="14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480.0</v>
      </c>
      <c r="C2" s="24">
        <v>480.0</v>
      </c>
      <c r="D2" s="24">
        <v>104.0</v>
      </c>
      <c r="E2" s="24">
        <v>20.0</v>
      </c>
      <c r="F2" s="24">
        <v>415.0</v>
      </c>
      <c r="G2" s="24">
        <v>254.0</v>
      </c>
      <c r="H2" s="24">
        <v>286.0</v>
      </c>
      <c r="I2" s="24">
        <v>103.0</v>
      </c>
      <c r="J2" s="24">
        <v>52.0</v>
      </c>
      <c r="K2" s="24">
        <v>381.0</v>
      </c>
      <c r="L2" s="24">
        <v>0.0</v>
      </c>
      <c r="M2" s="24">
        <v>480.0</v>
      </c>
    </row>
    <row r="3">
      <c r="A3" s="24" t="s">
        <v>71</v>
      </c>
      <c r="B3" s="24">
        <v>34050.0</v>
      </c>
      <c r="C3" s="24">
        <v>34050.0</v>
      </c>
      <c r="D3" s="24">
        <v>2320.0</v>
      </c>
      <c r="E3" s="24">
        <v>79.0</v>
      </c>
      <c r="F3" s="24">
        <v>17603.0</v>
      </c>
      <c r="G3" s="24">
        <v>7057.0</v>
      </c>
      <c r="H3" s="24">
        <v>3193.0</v>
      </c>
      <c r="I3" s="24">
        <v>2612.0</v>
      </c>
      <c r="J3" s="24">
        <v>1238.0</v>
      </c>
      <c r="K3" s="24">
        <v>19869.0</v>
      </c>
      <c r="L3" s="24">
        <v>36.0</v>
      </c>
      <c r="M3" s="24">
        <v>34022.0</v>
      </c>
    </row>
    <row r="4">
      <c r="A4" s="24" t="s">
        <v>72</v>
      </c>
      <c r="B4" s="24">
        <f t="shared" ref="B4:M4" si="1">SUM(B2:B3)</f>
        <v>34530</v>
      </c>
      <c r="C4" s="24">
        <f t="shared" si="1"/>
        <v>34530</v>
      </c>
      <c r="D4" s="24">
        <f t="shared" si="1"/>
        <v>2424</v>
      </c>
      <c r="E4" s="24">
        <f t="shared" si="1"/>
        <v>99</v>
      </c>
      <c r="F4" s="24">
        <f t="shared" si="1"/>
        <v>18018</v>
      </c>
      <c r="G4" s="24">
        <f t="shared" si="1"/>
        <v>7311</v>
      </c>
      <c r="H4" s="24">
        <f t="shared" si="1"/>
        <v>3479</v>
      </c>
      <c r="I4" s="24">
        <f t="shared" si="1"/>
        <v>2715</v>
      </c>
      <c r="J4" s="24">
        <f t="shared" si="1"/>
        <v>1290</v>
      </c>
      <c r="K4" s="24">
        <f t="shared" si="1"/>
        <v>20250</v>
      </c>
      <c r="L4" s="24">
        <f t="shared" si="1"/>
        <v>36</v>
      </c>
      <c r="M4" s="24">
        <f t="shared" si="1"/>
        <v>34502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104</v>
      </c>
      <c r="C9" s="26">
        <f>D3</f>
        <v>2320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376</v>
      </c>
      <c r="C10" s="25">
        <f>C3-D3</f>
        <v>31730</v>
      </c>
      <c r="D10" s="27">
        <f>SUM(B9:C10)</f>
        <v>34530</v>
      </c>
      <c r="F10" s="34">
        <f>B9/(B9+B10)</f>
        <v>0.2166666667</v>
      </c>
      <c r="G10" s="34">
        <f>C10/(C10+C9)</f>
        <v>0.9318649046</v>
      </c>
      <c r="H10" s="34">
        <f>(C10+B9)/D10</f>
        <v>0.9219229655</v>
      </c>
      <c r="I10" s="34">
        <f>((B9*C10)-(C9*B10))/SQRT((B9+C9)*(B9+B10)*(C10+C9)*(C10+B10))</f>
        <v>0.06806730308</v>
      </c>
      <c r="J10" s="34">
        <f>C4*D2/(D4*(B9+B10))</f>
        <v>3.086427393</v>
      </c>
      <c r="K10" s="34">
        <f>((D2*C4)-((B9+B10)*D2))/(D2*C4-2*(B9+B10)*D2+(B9+B10)*D4)</f>
        <v>0.7607630833</v>
      </c>
      <c r="L10" s="29">
        <f>(I10+1)/2</f>
        <v>0.5340336515</v>
      </c>
      <c r="M10" s="29">
        <f>(2*B9)/(2*B9+C9+B10)</f>
        <v>0.07162534435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20</v>
      </c>
      <c r="C12" s="26">
        <f>E3</f>
        <v>79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460</v>
      </c>
      <c r="C13" s="25">
        <f>C3-E3</f>
        <v>33971</v>
      </c>
      <c r="D13" s="31">
        <f>SUM(B12:C13)</f>
        <v>34530</v>
      </c>
      <c r="F13" s="34">
        <f>B12/(B12+B13)</f>
        <v>0.04166666667</v>
      </c>
      <c r="G13" s="34">
        <f>C13/(C13+C12)</f>
        <v>0.9976798825</v>
      </c>
      <c r="H13" s="34">
        <f>(C13+B12)/D13</f>
        <v>0.9843903852</v>
      </c>
      <c r="I13" s="34">
        <f>((B12*C13)-(C12*B13))/SQRT((B12+C12)*(B12+B13)*(C13+C12)*(C13+B13))</f>
        <v>0.0861575639</v>
      </c>
      <c r="J13" s="34">
        <f>C4*E2/(E4*(B12+B13))</f>
        <v>14.53282828</v>
      </c>
      <c r="K13" s="34">
        <f>((E2*C4)-((B12+B13)*E2))/(E2*C4-2*(B12+B13)*E2+(B12+B13)*E4)</f>
        <v>0.9472542147</v>
      </c>
      <c r="L13" s="29">
        <f>(I13+1)/2</f>
        <v>0.5430787819</v>
      </c>
      <c r="M13" s="29">
        <f>(2*B12)/(2*B12+C12+B13)</f>
        <v>0.06908462867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415</v>
      </c>
      <c r="C15" s="26">
        <f>F3</f>
        <v>17603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65</v>
      </c>
      <c r="C16" s="25">
        <f>C3-F3</f>
        <v>16447</v>
      </c>
      <c r="D16" s="31">
        <f>SUM(B15:C16)</f>
        <v>34530</v>
      </c>
      <c r="F16" s="28">
        <f>B15/(B15+B16)</f>
        <v>0.8645833333</v>
      </c>
      <c r="G16" s="28">
        <f>C16/(C16+C15)</f>
        <v>0.4830249633</v>
      </c>
      <c r="H16" s="28">
        <f>(C16+B15)/D16</f>
        <v>0.4883289893</v>
      </c>
      <c r="I16" s="28">
        <f>((B15*C16)-(C15*B16))/SQRT((B15+C15)*(B15+B16)*(C16+C15)*(C16+B16))</f>
        <v>0.08147346353</v>
      </c>
      <c r="J16" s="28">
        <f>C4*F2/(F4*(B15+B16))</f>
        <v>1.656902126</v>
      </c>
      <c r="K16" s="28">
        <f>((F2*C4)-((B15+B16)*F2))/(F2*C4-2*(B15+B16)*F2+(B15+B16)*F4)</f>
        <v>0.6258029715</v>
      </c>
      <c r="L16" s="29">
        <f>(I16+1)/2</f>
        <v>0.5407367318</v>
      </c>
      <c r="M16" s="29">
        <f>(2*B15)/(2*B15+C15+B16)</f>
        <v>0.04486971564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254</v>
      </c>
      <c r="C18" s="26">
        <f>G3</f>
        <v>7057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226</v>
      </c>
      <c r="C19" s="25">
        <f>C3-G3</f>
        <v>26993</v>
      </c>
      <c r="D19" s="31">
        <f>SUM(B18:C19)</f>
        <v>34530</v>
      </c>
      <c r="F19" s="28">
        <f>B18/(B18+B19)</f>
        <v>0.5291666667</v>
      </c>
      <c r="G19" s="28">
        <f>C19/(C19+C18)</f>
        <v>0.7927459618</v>
      </c>
      <c r="H19" s="28">
        <f>(C19+B18)/D19</f>
        <v>0.7890819577</v>
      </c>
      <c r="I19" s="28">
        <f>((B18*C19)-(C18*B19))/SQRT((B18+C18)*(B18+B19)*(C19+C18)*(C19+B19))</f>
        <v>0.09225559544</v>
      </c>
      <c r="J19" s="28">
        <f>C4*G2/(G4*(B18+B19))</f>
        <v>2.499264806</v>
      </c>
      <c r="K19" s="28">
        <f>((G2*C4)-((B18+B19)*G2))/(G2*C4-2*(B18+B19)*G2+(B18+B19)*G4)</f>
        <v>0.71856571</v>
      </c>
      <c r="L19" s="29">
        <f>(I19+1)/2</f>
        <v>0.5461277977</v>
      </c>
      <c r="M19" s="29">
        <f>(2*B18)/(2*B18+C18+B19)</f>
        <v>0.06520343987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286</v>
      </c>
      <c r="C21" s="26">
        <f>H3</f>
        <v>3193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194</v>
      </c>
      <c r="C22" s="25">
        <f>C3-H3</f>
        <v>30857</v>
      </c>
      <c r="D22" s="31">
        <f>SUM(B21:C22)</f>
        <v>34530</v>
      </c>
      <c r="F22" s="28">
        <f>B21/(B21+B22)</f>
        <v>0.5958333333</v>
      </c>
      <c r="G22" s="28">
        <f>C22/(C22+C21)</f>
        <v>0.906226138</v>
      </c>
      <c r="H22" s="28">
        <f>(C22+B21)/D22</f>
        <v>0.9019113814</v>
      </c>
      <c r="I22" s="28">
        <f>((B21*C22)-(C21*B22))/SQRT((B21+C21)*(B21+B22)*(C22+C21)*(C22+B22))</f>
        <v>0.1952852002</v>
      </c>
      <c r="J22" s="28">
        <f>C4*H2/(H4*(B21+B22))</f>
        <v>5.913804254</v>
      </c>
      <c r="K22" s="28">
        <f>((H2*C4)-((B21+B22)*H2))/(H2*C4-2*(B21+B22)*H2+(B21+B22)*H4)</f>
        <v>0.8640184403</v>
      </c>
      <c r="L22" s="29">
        <f>(I22+1)/2</f>
        <v>0.5976426001</v>
      </c>
      <c r="M22" s="29">
        <f>(2*B21)/(2*B21+C21+B22)</f>
        <v>0.1444809295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103</v>
      </c>
      <c r="C24" s="26">
        <f>I3</f>
        <v>2612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377</v>
      </c>
      <c r="C25" s="25">
        <f>C3-I3</f>
        <v>31438</v>
      </c>
      <c r="D25" s="31">
        <f>SUM(B24:C25)</f>
        <v>34530</v>
      </c>
      <c r="F25" s="28">
        <f>B24/(B24+B25)</f>
        <v>0.2145833333</v>
      </c>
      <c r="G25" s="28">
        <f>C25/(C25+C24)</f>
        <v>0.9232892805</v>
      </c>
      <c r="H25" s="28">
        <f>(C25+B24)/D25</f>
        <v>0.9134375905</v>
      </c>
      <c r="I25" s="28">
        <f>((B24*C25)-(C24*B25))/SQRT((B24+C24)*(B24+B25)*(C25+C24)*(C25+B25))</f>
        <v>0.05997307336</v>
      </c>
      <c r="J25" s="28">
        <f>C4*I2/(I4*(B24+B25))</f>
        <v>2.729120626</v>
      </c>
      <c r="K25" s="28">
        <f>((I2*C4)-((B24+B25)*I2))/(I2*C4-2*(B24+B25)*I2+(B24+B25)*I4)</f>
        <v>0.7366553873</v>
      </c>
      <c r="L25" s="29">
        <f>(I25+1)/2</f>
        <v>0.5299865367</v>
      </c>
      <c r="M25" s="29">
        <f>(2*B24)/(2*B24+C24+B25)</f>
        <v>0.06447574335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52</v>
      </c>
      <c r="C27" s="26">
        <f>J$3</f>
        <v>1238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428</v>
      </c>
      <c r="C28" s="25">
        <f>$C$3-J$3</f>
        <v>32812</v>
      </c>
      <c r="D28" s="27">
        <f>SUM(B27:C28)</f>
        <v>34530</v>
      </c>
      <c r="F28" s="28">
        <f>B27/(B27+B28)</f>
        <v>0.1083333333</v>
      </c>
      <c r="G28" s="28">
        <f>C28/(C28+C27)</f>
        <v>0.9636417034</v>
      </c>
      <c r="H28" s="28">
        <f>(C28+B27)/D28</f>
        <v>0.9517520996</v>
      </c>
      <c r="I28" s="28">
        <f>((B27*C28)-(C27*B28))/SQRT((B27+C27)*(B27+B28)*(C28+C27)*(C28+B28))</f>
        <v>0.04443607685</v>
      </c>
      <c r="J28" s="28">
        <f>$C$4*J$2/(J$4*(B27+B28))</f>
        <v>2.899806202</v>
      </c>
      <c r="K28" s="28">
        <f>((J$2*$C$4)-((B27+B28)*J$2))/(J$2*$C$4-2*(B27+B28)*J$2+(B27+B28)*J$4)</f>
        <v>0.7487187294</v>
      </c>
      <c r="L28" s="29">
        <f>(I28+1)/2</f>
        <v>0.5222180384</v>
      </c>
      <c r="M28" s="29">
        <f>(2*B27)/(2*B27+C27+B28)</f>
        <v>0.05875706215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381</v>
      </c>
      <c r="C30" s="26">
        <f>K$3</f>
        <v>19869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99</v>
      </c>
      <c r="C31" s="25">
        <f>$C$3-K$3</f>
        <v>14181</v>
      </c>
      <c r="D31" s="27">
        <f>SUM(B30:C31)</f>
        <v>34530</v>
      </c>
      <c r="F31" s="28">
        <f>B30/(B30+B31)</f>
        <v>0.79375</v>
      </c>
      <c r="G31" s="28">
        <f>C31/(C31+C30)</f>
        <v>0.4164757709</v>
      </c>
      <c r="H31" s="28">
        <f>(C31+B30)/D31</f>
        <v>0.4217202433</v>
      </c>
      <c r="I31" s="28">
        <f>((B30*C31)-(C30*B31))/SQRT((B30+C30)*(B30+B31)*(C31+C30)*(C31+B31))</f>
        <v>0.04997910941</v>
      </c>
      <c r="J31" s="28">
        <f>$C$4*K$2/(K$4*(B30+B31))</f>
        <v>1.353490741</v>
      </c>
      <c r="K31" s="28">
        <f>((K$2*$C$4)-((B30+B31)*K$2))/(K$2*$C$4-2*(B30+B31)*K$2+(B30+B31)*K$4)</f>
        <v>0.5763195036</v>
      </c>
      <c r="L31" s="29">
        <f>(I31+1)/2</f>
        <v>0.5249895547</v>
      </c>
      <c r="M31" s="29">
        <f>(2*B30)/(2*B30+C30+B31)</f>
        <v>0.03675832127</v>
      </c>
    </row>
    <row r="32" ht="15.75" customHeight="1">
      <c r="F32" s="40"/>
      <c r="G32" s="40"/>
      <c r="H32" s="40"/>
      <c r="I32" s="40"/>
      <c r="J32" s="40"/>
      <c r="K32" s="24"/>
      <c r="L32" s="29"/>
      <c r="M32" s="29"/>
    </row>
    <row r="33" ht="15.75" customHeight="1">
      <c r="A33" s="39" t="s">
        <v>68</v>
      </c>
      <c r="B33" s="25">
        <f>L$2</f>
        <v>0</v>
      </c>
      <c r="C33" s="26">
        <f>L$3</f>
        <v>36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480</v>
      </c>
      <c r="C34" s="25">
        <f>$C$3-L$3</f>
        <v>34014</v>
      </c>
      <c r="D34" s="27">
        <f>SUM(B33:C34)</f>
        <v>34530</v>
      </c>
      <c r="F34" s="28">
        <f>B33/(B33+B34)</f>
        <v>0</v>
      </c>
      <c r="G34" s="28">
        <f>C34/(C34+C33)</f>
        <v>0.9989427313</v>
      </c>
      <c r="H34" s="28">
        <f>(C34+B33)/D34</f>
        <v>0.9850564726</v>
      </c>
      <c r="I34" s="28">
        <f>((B33*C34)-(C33*B34))/SQRT((B33+C33)*(B33+B34)*(C34+C33)*(C34+B34))</f>
        <v>-0.003835672611</v>
      </c>
      <c r="J34" s="28">
        <f>$C$4*L$2/(L$4*(B33+B34))</f>
        <v>0</v>
      </c>
      <c r="K34" s="28">
        <f>((L$2*$C$4)-((B33+B34)*L$2))/(L$2*$C$4-2*(B33+B34)*L$2+(B33+B34)*L$4)</f>
        <v>0</v>
      </c>
      <c r="L34" s="29">
        <f>(I34+1)/2</f>
        <v>0.4980821637</v>
      </c>
      <c r="M34" s="29">
        <f>(2*B33)/(2*B33+C33+B34)</f>
        <v>0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480</v>
      </c>
      <c r="C36" s="26">
        <f>M$3</f>
        <v>34022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0</v>
      </c>
      <c r="C37" s="25">
        <f>$C$3-M$3</f>
        <v>28</v>
      </c>
      <c r="D37" s="27">
        <f>SUM(B36:C37)</f>
        <v>34530</v>
      </c>
      <c r="F37" s="28">
        <f>B36/(B36+B37)</f>
        <v>1</v>
      </c>
      <c r="G37" s="28">
        <f>C37/(C37+C36)</f>
        <v>0.0008223201175</v>
      </c>
      <c r="H37" s="28">
        <f>(C37+B36)/D37</f>
        <v>0.01471184477</v>
      </c>
      <c r="I37" s="28">
        <f>((B36*C37)-(C36*B37))/SQRT((B36+C36)*(B36+B37)*(C37+C36)*(C37+B37))</f>
        <v>0.003382353078</v>
      </c>
      <c r="J37" s="28">
        <f>$C$4*M$2/(M$4*(B36+B37))</f>
        <v>1.000811547</v>
      </c>
      <c r="K37" s="28">
        <f>((M$2*$C$4)-((B36+B37)*M$2))/(M$2*$C$4-2*(B36+B37)*M$2+(B36+B37)*M$4)</f>
        <v>0.5002056646</v>
      </c>
      <c r="L37" s="29">
        <f>(I37+1)/2</f>
        <v>0.5016911765</v>
      </c>
      <c r="M37" s="29">
        <f>(2*B36)/(2*B36+C36+B37)</f>
        <v>0.02744268481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8" width="10.14"/>
    <col customWidth="1" min="9" max="9" width="10.86"/>
    <col customWidth="1" min="10" max="11" width="10.14"/>
    <col customWidth="1" min="12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111.0</v>
      </c>
      <c r="C2" s="24">
        <v>111.0</v>
      </c>
      <c r="D2" s="24">
        <v>11.0</v>
      </c>
      <c r="E2" s="24">
        <v>21.0</v>
      </c>
      <c r="F2" s="24">
        <v>82.0</v>
      </c>
      <c r="G2" s="24">
        <v>80.0</v>
      </c>
      <c r="H2" s="24">
        <v>7.0</v>
      </c>
      <c r="I2" s="24">
        <v>98.0</v>
      </c>
      <c r="J2" s="24">
        <v>98.0</v>
      </c>
      <c r="K2" s="24">
        <v>28.0</v>
      </c>
      <c r="L2" s="24">
        <v>5.0</v>
      </c>
      <c r="M2" s="24">
        <v>111.0</v>
      </c>
    </row>
    <row r="3">
      <c r="A3" s="24" t="s">
        <v>71</v>
      </c>
      <c r="B3" s="24">
        <v>5800.0</v>
      </c>
      <c r="C3" s="24">
        <v>5800.0</v>
      </c>
      <c r="D3" s="24">
        <v>750.0</v>
      </c>
      <c r="E3" s="24">
        <v>934.0</v>
      </c>
      <c r="F3" s="24">
        <v>2332.0</v>
      </c>
      <c r="G3" s="24">
        <v>1362.0</v>
      </c>
      <c r="H3" s="24">
        <v>148.0</v>
      </c>
      <c r="I3" s="24">
        <v>4150.0</v>
      </c>
      <c r="J3" s="24">
        <v>4053.0</v>
      </c>
      <c r="K3" s="24">
        <v>727.0</v>
      </c>
      <c r="L3" s="24">
        <v>138.0</v>
      </c>
      <c r="M3" s="24">
        <v>5778.0</v>
      </c>
    </row>
    <row r="4">
      <c r="A4" s="24" t="s">
        <v>72</v>
      </c>
      <c r="B4" s="24">
        <f t="shared" ref="B4:M4" si="1">SUM(B2:B3)</f>
        <v>5911</v>
      </c>
      <c r="C4" s="24">
        <f t="shared" si="1"/>
        <v>5911</v>
      </c>
      <c r="D4" s="24">
        <f t="shared" si="1"/>
        <v>761</v>
      </c>
      <c r="E4" s="24">
        <f t="shared" si="1"/>
        <v>955</v>
      </c>
      <c r="F4" s="24">
        <f t="shared" si="1"/>
        <v>2414</v>
      </c>
      <c r="G4" s="24">
        <f t="shared" si="1"/>
        <v>1442</v>
      </c>
      <c r="H4" s="24">
        <f t="shared" si="1"/>
        <v>155</v>
      </c>
      <c r="I4" s="24">
        <f t="shared" si="1"/>
        <v>4248</v>
      </c>
      <c r="J4" s="24">
        <f t="shared" si="1"/>
        <v>4151</v>
      </c>
      <c r="K4" s="24">
        <f t="shared" si="1"/>
        <v>755</v>
      </c>
      <c r="L4" s="24">
        <f t="shared" si="1"/>
        <v>143</v>
      </c>
      <c r="M4" s="24">
        <f t="shared" si="1"/>
        <v>5889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11</v>
      </c>
      <c r="C9" s="26">
        <f>D3</f>
        <v>750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100</v>
      </c>
      <c r="C10" s="25">
        <f>C3-D3</f>
        <v>5050</v>
      </c>
      <c r="D10" s="27">
        <f>SUM(B9:C10)</f>
        <v>5911</v>
      </c>
      <c r="F10" s="34">
        <f>B9/(B9+B10)</f>
        <v>0.0990990991</v>
      </c>
      <c r="G10" s="34">
        <f>C10/(C10+C9)</f>
        <v>0.8706896552</v>
      </c>
      <c r="H10" s="34">
        <f>(C10+B9)/D10</f>
        <v>0.8562003045</v>
      </c>
      <c r="I10" s="34">
        <f>((B9*C10)-(C9*B10))/SQRT((B9+C9)*(B9+B10)*(C10+C9)*(C10+B10))</f>
        <v>-0.01224470077</v>
      </c>
      <c r="J10" s="34">
        <f>C4*D2/(D4*(B9+B10))</f>
        <v>0.7697434623</v>
      </c>
      <c r="K10" s="34">
        <f>((D2*C4)-((B9+B10)*D2))/(D2*C4-2*(B9+B10)*D2+(B9+B10)*D4)</f>
        <v>0.433866032</v>
      </c>
      <c r="L10" s="29">
        <f>(I10+1)/2</f>
        <v>0.4938776496</v>
      </c>
      <c r="M10" s="29">
        <f>(2*B9)/(2*B9+C9+B10)</f>
        <v>0.0252293578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21</v>
      </c>
      <c r="C12" s="26">
        <f>E3</f>
        <v>934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90</v>
      </c>
      <c r="C13" s="25">
        <f>C3-E3</f>
        <v>4866</v>
      </c>
      <c r="D13" s="31">
        <f>SUM(B12:C13)</f>
        <v>5911</v>
      </c>
      <c r="F13" s="34">
        <f>B12/(B12+B13)</f>
        <v>0.1891891892</v>
      </c>
      <c r="G13" s="34">
        <f>C13/(C13+C12)</f>
        <v>0.8389655172</v>
      </c>
      <c r="H13" s="34">
        <f>(C13+B12)/D13</f>
        <v>0.826763661</v>
      </c>
      <c r="I13" s="34">
        <f>((B12*C13)-(C12*B13))/SQRT((B12+C12)*(B12+B13)*(C13+C12)*(C13+B13))</f>
        <v>0.01038386791</v>
      </c>
      <c r="J13" s="34">
        <f>C4*E2/(E4*(B12+B13))</f>
        <v>1.170991934</v>
      </c>
      <c r="K13" s="34">
        <f>((E2*C4)-((B12+B13)*E2))/(E2*C4-2*(B12+B13)*E2+(B12+B13)*E4)</f>
        <v>0.5401953219</v>
      </c>
      <c r="L13" s="29">
        <f>(I13+1)/2</f>
        <v>0.505191934</v>
      </c>
      <c r="M13" s="29">
        <f>(2*B12)/(2*B12+C12+B13)</f>
        <v>0.03939962477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82</v>
      </c>
      <c r="C15" s="26">
        <f>F3</f>
        <v>2332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29</v>
      </c>
      <c r="C16" s="25">
        <f>C3-F3</f>
        <v>3468</v>
      </c>
      <c r="D16" s="31">
        <f>SUM(B15:C16)</f>
        <v>5911</v>
      </c>
      <c r="F16" s="28">
        <f>B15/(B15+B16)</f>
        <v>0.7387387387</v>
      </c>
      <c r="G16" s="28">
        <f>C16/(C16+C15)</f>
        <v>0.5979310345</v>
      </c>
      <c r="H16" s="28">
        <f>(C16+B15)/D16</f>
        <v>0.6005751988</v>
      </c>
      <c r="I16" s="28">
        <f>((B15*C16)-(C15*B16))/SQRT((B15+C15)*(B15+B16)*(C16+C15)*(C16+B16))</f>
        <v>0.09297435274</v>
      </c>
      <c r="J16" s="28">
        <f>C4*F2/(F4*(B15+B16))</f>
        <v>1.808900035</v>
      </c>
      <c r="K16" s="28">
        <f>((F2*C4)-((B15+B16)*F2))/(F2*C4-2*(B15+B16)*F2+(B15+B16)*F4)</f>
        <v>0.6475576348</v>
      </c>
      <c r="L16" s="29">
        <f>(I16+1)/2</f>
        <v>0.5464871764</v>
      </c>
      <c r="M16" s="29">
        <f>(2*B15)/(2*B15+C15+B16)</f>
        <v>0.06495049505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80</v>
      </c>
      <c r="C18" s="26">
        <f>G3</f>
        <v>1362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31</v>
      </c>
      <c r="C19" s="25">
        <f>C3-G3</f>
        <v>4438</v>
      </c>
      <c r="D19" s="31">
        <f>SUM(B18:C19)</f>
        <v>5911</v>
      </c>
      <c r="F19" s="28">
        <f>B18/(B18+B19)</f>
        <v>0.7207207207</v>
      </c>
      <c r="G19" s="28">
        <f>C19/(C19+C18)</f>
        <v>0.7651724138</v>
      </c>
      <c r="H19" s="28">
        <f>(C19+B18)/D19</f>
        <v>0.7643376755</v>
      </c>
      <c r="I19" s="28">
        <f>((B18*C19)-(C18*B19))/SQRT((B18+C18)*(B18+B19)*(C19+C18)*(C19+B19))</f>
        <v>0.1535777998</v>
      </c>
      <c r="J19" s="28">
        <f>C4*G2/(G4*(B18+B19))</f>
        <v>2.954355187</v>
      </c>
      <c r="K19" s="28">
        <f>((G2*C4)-((B18+B19)*G2))/(G2*C4-2*(B18+B19)*G2+(B18+B19)*G4)</f>
        <v>0.7542483363</v>
      </c>
      <c r="L19" s="29">
        <f>(I19+1)/2</f>
        <v>0.5767888999</v>
      </c>
      <c r="M19" s="29">
        <f>(2*B18)/(2*B18+C18+B19)</f>
        <v>0.1030264005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7</v>
      </c>
      <c r="C21" s="26">
        <f>H3</f>
        <v>148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104</v>
      </c>
      <c r="C22" s="25">
        <f>C3-H3</f>
        <v>5652</v>
      </c>
      <c r="D22" s="31">
        <f>SUM(B21:C22)</f>
        <v>5911</v>
      </c>
      <c r="F22" s="28">
        <f>B21/(B21+B22)</f>
        <v>0.06306306306</v>
      </c>
      <c r="G22" s="28">
        <f>C22/(C22+C21)</f>
        <v>0.9744827586</v>
      </c>
      <c r="H22" s="28">
        <f>(C22+B21)/D22</f>
        <v>0.9573676197</v>
      </c>
      <c r="I22" s="28">
        <f>((B21*C22)-(C21*B22))/SQRT((B21+C21)*(B21+B22)*(C22+C21)*(C22+B22))</f>
        <v>0.03189413717</v>
      </c>
      <c r="J22" s="28">
        <f>C4*H2/(H4*(B21+B22))</f>
        <v>2.404940424</v>
      </c>
      <c r="K22" s="28">
        <f>((H2*C4)-((B21+B22)*H2))/(H2*C4-2*(B21+B22)*H2+(B21+B22)*H4)</f>
        <v>0.7119309813</v>
      </c>
      <c r="L22" s="29">
        <f>(I22+1)/2</f>
        <v>0.5159470686</v>
      </c>
      <c r="M22" s="29">
        <f>(2*B21)/(2*B21+C21+B22)</f>
        <v>0.05263157895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98</v>
      </c>
      <c r="C24" s="26">
        <f>I3</f>
        <v>4150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13</v>
      </c>
      <c r="C25" s="25">
        <f>C3-I3</f>
        <v>1650</v>
      </c>
      <c r="D25" s="31">
        <f>SUM(B24:C25)</f>
        <v>5911</v>
      </c>
      <c r="F25" s="28">
        <f>B24/(B24+B25)</f>
        <v>0.8828828829</v>
      </c>
      <c r="G25" s="28">
        <f>C25/(C25+C24)</f>
        <v>0.2844827586</v>
      </c>
      <c r="H25" s="28">
        <f>(C25+B24)/D25</f>
        <v>0.2957198444</v>
      </c>
      <c r="I25" s="28">
        <f>((B24*C25)-(C24*B25))/SQRT((B24+C24)*(B24+B25)*(C25+C24)*(C25+B25))</f>
        <v>0.05052466167</v>
      </c>
      <c r="J25" s="28">
        <f>C4*I2/(I4*(B24+B25))</f>
        <v>1.228512411</v>
      </c>
      <c r="K25" s="28">
        <f>((I2*C4)-((B24+B25)*I2))/(I2*C4-2*(B24+B25)*I2+(B24+B25)*I4)</f>
        <v>0.552354113</v>
      </c>
      <c r="L25" s="29">
        <f>(I25+1)/2</f>
        <v>0.5252623308</v>
      </c>
      <c r="M25" s="29">
        <f>(2*B24)/(2*B24+C24+B25)</f>
        <v>0.04496444139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98</v>
      </c>
      <c r="C27" s="26">
        <f>J$3</f>
        <v>4053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13</v>
      </c>
      <c r="C28" s="25">
        <f>$C$3-J$3</f>
        <v>1747</v>
      </c>
      <c r="D28" s="27">
        <f>SUM(B27:C28)</f>
        <v>5911</v>
      </c>
      <c r="F28" s="28">
        <f>B27/(B27+B28)</f>
        <v>0.8828828829</v>
      </c>
      <c r="G28" s="28">
        <f>C28/(C28+C27)</f>
        <v>0.3012068966</v>
      </c>
      <c r="H28" s="28">
        <f>(C28+B27)/D28</f>
        <v>0.3121299273</v>
      </c>
      <c r="I28" s="28">
        <f>((B27*C28)-(C27*B28))/SQRT((B27+C27)*(B27+B28)*(C28+C27)*(C28+B28))</f>
        <v>0.05464777232</v>
      </c>
      <c r="J28" s="28">
        <f>$C$4*J$2/(J$4*(B27+B28))</f>
        <v>1.257220121</v>
      </c>
      <c r="K28" s="28">
        <f>((J$2*$C$4)-((B27+B28)*J$2))/(J$2*$C$4-2*(B27+B28)*J$2+(B27+B28)*J$4)</f>
        <v>0.5581945294</v>
      </c>
      <c r="L28" s="29">
        <f>(I28+1)/2</f>
        <v>0.5273238862</v>
      </c>
      <c r="M28" s="29">
        <f>(2*B27)/(2*B27+C27+B28)</f>
        <v>0.04598779916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28</v>
      </c>
      <c r="C30" s="26">
        <f>K$3</f>
        <v>727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83</v>
      </c>
      <c r="C31" s="25">
        <f>$C$3-K$3</f>
        <v>5073</v>
      </c>
      <c r="D31" s="27">
        <f>SUM(B30:C31)</f>
        <v>5911</v>
      </c>
      <c r="F31" s="28">
        <f>B30/(B30+B31)</f>
        <v>0.2522522523</v>
      </c>
      <c r="G31" s="28">
        <f>C31/(C31+C30)</f>
        <v>0.8746551724</v>
      </c>
      <c r="H31" s="28">
        <f>(C31+B30)/D31</f>
        <v>0.862967349</v>
      </c>
      <c r="I31" s="28">
        <f>((B30*C31)-(C30*B31))/SQRT((B30+C30)*(B30+B31)*(C31+C30)*(C31+B31))</f>
        <v>0.05160984884</v>
      </c>
      <c r="J31" s="28">
        <f>$C$4*K$2/(K$4*(B30+B31))</f>
        <v>1.974917964</v>
      </c>
      <c r="K31" s="28">
        <f>((K$2*$C$4)-((B30+B31)*K$2))/(K$2*$C$4-2*(B30+B31)*K$2+(B30+B31)*K$4)</f>
        <v>0.6680460886</v>
      </c>
      <c r="L31" s="29">
        <f>(I31+1)/2</f>
        <v>0.5258049244</v>
      </c>
      <c r="M31" s="29">
        <f>(2*B30)/(2*B30+C30+B31)</f>
        <v>0.06466512702</v>
      </c>
    </row>
    <row r="32" ht="15.75" customHeight="1">
      <c r="K32" s="24"/>
      <c r="L32" s="29"/>
      <c r="M32" s="29"/>
    </row>
    <row r="33" ht="15.75" customHeight="1">
      <c r="A33" s="33" t="s">
        <v>68</v>
      </c>
      <c r="B33" s="25">
        <f>L$2</f>
        <v>5</v>
      </c>
      <c r="C33" s="26">
        <f>L$3</f>
        <v>138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106</v>
      </c>
      <c r="C34" s="25">
        <f>$C$3-L$3</f>
        <v>5662</v>
      </c>
      <c r="D34" s="27">
        <f>SUM(B33:C34)</f>
        <v>5911</v>
      </c>
      <c r="F34" s="28">
        <f>B33/(B33+B34)</f>
        <v>0.04504504505</v>
      </c>
      <c r="G34" s="28">
        <f>C34/(C34+C33)</f>
        <v>0.9762068966</v>
      </c>
      <c r="H34" s="28">
        <f>(C34+B33)/D34</f>
        <v>0.9587210286</v>
      </c>
      <c r="I34" s="28">
        <f>((B33*C34)-(C33*B34))/SQRT((B33+C33)*(B33+B34)*(C34+C33)*(C34+B34))</f>
        <v>0.01877558405</v>
      </c>
      <c r="J34" s="28">
        <f>$C$4*L$2/(L$4*(B33+B34))</f>
        <v>1.861966862</v>
      </c>
      <c r="K34" s="28">
        <f>((L$2*$C$4)-((B33+B34)*L$2))/(L$2*$C$4-2*(B33+B34)*L$2+(B33+B34)*L$4)</f>
        <v>0.6543616589</v>
      </c>
      <c r="L34" s="29">
        <f>(I34+1)/2</f>
        <v>0.509387792</v>
      </c>
      <c r="M34" s="29">
        <f>(2*B33)/(2*B33+C33+B34)</f>
        <v>0.03937007874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111</v>
      </c>
      <c r="C36" s="26">
        <f>M$3</f>
        <v>5778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0</v>
      </c>
      <c r="C37" s="25">
        <f>$C$3-M$3</f>
        <v>22</v>
      </c>
      <c r="D37" s="27">
        <f>SUM(B36:C37)</f>
        <v>5911</v>
      </c>
      <c r="F37" s="28">
        <f>B36/(B36+B37)</f>
        <v>1</v>
      </c>
      <c r="G37" s="28">
        <f>C37/(C37+C36)</f>
        <v>0.003793103448</v>
      </c>
      <c r="H37" s="28">
        <f>(C37+B36)/D37</f>
        <v>0.02250042294</v>
      </c>
      <c r="I37" s="28">
        <f>((B36*C37)-(C36*B37))/SQRT((B36+C36)*(B36+B37)*(C37+C36)*(C37+B37))</f>
        <v>0.008455475897</v>
      </c>
      <c r="J37" s="28">
        <f>$C$4*M$2/(M$4*(B36+B37))</f>
        <v>1.003735779</v>
      </c>
      <c r="K37" s="28">
        <f>((M$2*$C$4)-((B36+B37)*M$2))/(M$2*$C$4-2*(B36+B37)*M$2+(B36+B37)*M$4)</f>
        <v>0.5009500777</v>
      </c>
      <c r="L37" s="29">
        <f>(I37+1)/2</f>
        <v>0.5042277379</v>
      </c>
      <c r="M37" s="29">
        <f>(2*B36)/(2*B36+C36+B37)</f>
        <v>0.037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12" width="8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88.0</v>
      </c>
      <c r="C2" s="24">
        <v>88.0</v>
      </c>
      <c r="D2" s="24">
        <v>33.0</v>
      </c>
      <c r="E2" s="24">
        <v>54.0</v>
      </c>
      <c r="F2" s="24">
        <v>1.0</v>
      </c>
      <c r="G2" s="24">
        <v>58.0</v>
      </c>
      <c r="H2" s="24">
        <v>41.0</v>
      </c>
      <c r="I2" s="24">
        <v>38.0</v>
      </c>
      <c r="J2" s="24">
        <v>6.0</v>
      </c>
      <c r="K2" s="24">
        <v>1.0</v>
      </c>
      <c r="L2" s="24">
        <v>1.0</v>
      </c>
      <c r="M2" s="24">
        <v>6.0</v>
      </c>
    </row>
    <row r="3">
      <c r="A3" s="24" t="s">
        <v>71</v>
      </c>
      <c r="B3" s="24">
        <v>4850.0</v>
      </c>
      <c r="C3" s="24">
        <v>4850.0</v>
      </c>
      <c r="D3" s="24">
        <v>79.0</v>
      </c>
      <c r="E3" s="24">
        <v>958.0</v>
      </c>
      <c r="F3" s="24">
        <v>1.0</v>
      </c>
      <c r="G3" s="24">
        <v>1701.0</v>
      </c>
      <c r="H3" s="24">
        <v>146.0</v>
      </c>
      <c r="I3" s="24">
        <v>1764.0</v>
      </c>
      <c r="J3" s="24">
        <v>916.0</v>
      </c>
      <c r="K3" s="24">
        <v>5.0</v>
      </c>
      <c r="L3" s="24">
        <v>3.0</v>
      </c>
      <c r="M3" s="24">
        <v>284.0</v>
      </c>
    </row>
    <row r="4">
      <c r="A4" s="24" t="s">
        <v>72</v>
      </c>
      <c r="B4" s="24">
        <f t="shared" ref="B4:M4" si="1">SUM(B2:B3)</f>
        <v>4938</v>
      </c>
      <c r="C4" s="24">
        <f t="shared" si="1"/>
        <v>4938</v>
      </c>
      <c r="D4" s="24">
        <f t="shared" si="1"/>
        <v>112</v>
      </c>
      <c r="E4" s="24">
        <f t="shared" si="1"/>
        <v>1012</v>
      </c>
      <c r="F4" s="24">
        <f t="shared" si="1"/>
        <v>2</v>
      </c>
      <c r="G4" s="24">
        <f t="shared" si="1"/>
        <v>1759</v>
      </c>
      <c r="H4" s="24">
        <f t="shared" si="1"/>
        <v>187</v>
      </c>
      <c r="I4" s="24">
        <f t="shared" si="1"/>
        <v>1802</v>
      </c>
      <c r="J4" s="24">
        <f t="shared" si="1"/>
        <v>922</v>
      </c>
      <c r="K4" s="24">
        <f t="shared" si="1"/>
        <v>6</v>
      </c>
      <c r="L4" s="24">
        <f t="shared" si="1"/>
        <v>4</v>
      </c>
      <c r="M4" s="24">
        <f t="shared" si="1"/>
        <v>290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33</v>
      </c>
      <c r="C9" s="26">
        <f>D3</f>
        <v>79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55</v>
      </c>
      <c r="C10" s="25">
        <f>C3-D3</f>
        <v>4771</v>
      </c>
      <c r="D10" s="27">
        <f>SUM(B9:C10)</f>
        <v>4938</v>
      </c>
      <c r="F10" s="34">
        <f>B9/(B9+B10)</f>
        <v>0.375</v>
      </c>
      <c r="G10" s="34">
        <f>C10/(C10+C9)</f>
        <v>0.9837113402</v>
      </c>
      <c r="H10" s="34">
        <f>(C10+B9)/D10</f>
        <v>0.9728635075</v>
      </c>
      <c r="I10" s="34">
        <f>((B9*C10)-(C9*B10))/SQRT((B9+C9)*(B9+B10)*(C10+C9)*(C10+B10))</f>
        <v>0.3187532649</v>
      </c>
      <c r="J10" s="34">
        <f>C4*D2/(D4*(B9+B10))</f>
        <v>16.53348214</v>
      </c>
      <c r="K10" s="34">
        <f>((D2*C4)-((B9+B10)*D2))/(D2*C4-2*(B9+B10)*D2+(B9+B10)*D4)</f>
        <v>0.958371756</v>
      </c>
      <c r="L10" s="29">
        <f>(I10+1)/2</f>
        <v>0.6593766324</v>
      </c>
      <c r="M10" s="29">
        <f>(2*B9)/(2*B9+C9+B10)</f>
        <v>0.33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54</v>
      </c>
      <c r="C12" s="26">
        <f>E3</f>
        <v>958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34</v>
      </c>
      <c r="C13" s="25">
        <f>C3-E3</f>
        <v>3892</v>
      </c>
      <c r="D13" s="31">
        <f>SUM(B12:C13)</f>
        <v>4938</v>
      </c>
      <c r="F13" s="34">
        <f>B12/(B12+B13)</f>
        <v>0.6136363636</v>
      </c>
      <c r="G13" s="34">
        <f>C13/(C13+C12)</f>
        <v>0.8024742268</v>
      </c>
      <c r="H13" s="34">
        <f>(C13+B12)/D13</f>
        <v>0.799108951</v>
      </c>
      <c r="I13" s="34">
        <f>((B12*C13)-(C12*B13))/SQRT((B12+C12)*(B12+B13)*(C13+C12)*(C13+B13))</f>
        <v>0.1363815339</v>
      </c>
      <c r="J13" s="34">
        <f>C4*E2/(E4*(B12+B13))</f>
        <v>2.994205893</v>
      </c>
      <c r="K13" s="34">
        <f>((E2*C4)-((B12+B13)*E2))/(E2*C4-2*(B12+B13)*E2+(B12+B13)*E4)</f>
        <v>0.7564903929</v>
      </c>
      <c r="L13" s="29">
        <f>(I13+1)/2</f>
        <v>0.5681907669</v>
      </c>
      <c r="M13" s="29">
        <f>(2*B12)/(2*B12+C12+B13)</f>
        <v>0.09818181818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1</v>
      </c>
      <c r="C15" s="26">
        <f>F3</f>
        <v>1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87</v>
      </c>
      <c r="C16" s="25">
        <f>C3-F3</f>
        <v>4849</v>
      </c>
      <c r="D16" s="31">
        <f>SUM(B15:C16)</f>
        <v>4938</v>
      </c>
      <c r="F16" s="28">
        <f>B15/(B15+B16)</f>
        <v>0.01136363636</v>
      </c>
      <c r="G16" s="28">
        <f>C16/(C16+C15)</f>
        <v>0.9997938144</v>
      </c>
      <c r="H16" s="28">
        <f>(C16+B15)/D16</f>
        <v>0.9821790198</v>
      </c>
      <c r="I16" s="28">
        <f>((B15*C16)-(C15*B16))/SQRT((B15+C15)*(B15+B16)*(C16+C15)*(C16+B16))</f>
        <v>0.07336258274</v>
      </c>
      <c r="J16" s="28">
        <f>C4*F2/(F4*(B15+B16))</f>
        <v>28.05681818</v>
      </c>
      <c r="K16" s="28">
        <f>((F2*C4)-((B15+B16)*F2))/(F2*C4-2*(B15+B16)*F2+(B15+B16)*F4)</f>
        <v>0.9821790198</v>
      </c>
      <c r="L16" s="29">
        <f>(I16+1)/2</f>
        <v>0.5366812914</v>
      </c>
      <c r="M16" s="29">
        <f>(2*B15)/(2*B15+C15+B16)</f>
        <v>0.02222222222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58</v>
      </c>
      <c r="C18" s="26">
        <f>G3</f>
        <v>1701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30</v>
      </c>
      <c r="C19" s="25">
        <f>C3-G3</f>
        <v>3149</v>
      </c>
      <c r="D19" s="31">
        <f>SUM(B18:C19)</f>
        <v>4938</v>
      </c>
      <c r="F19" s="28">
        <f>B18/(B18+B19)</f>
        <v>0.6590909091</v>
      </c>
      <c r="G19" s="28">
        <f>C19/(C19+C18)</f>
        <v>0.6492783505</v>
      </c>
      <c r="H19" s="28">
        <f>(C19+B18)/D19</f>
        <v>0.6494532199</v>
      </c>
      <c r="I19" s="28">
        <f>((B18*C19)-(C18*B19))/SQRT((B18+C18)*(B18+B19)*(C19+C18)*(C19+B19))</f>
        <v>0.08519323302</v>
      </c>
      <c r="J19" s="28">
        <f>C4*G2/(G4*(B18+B19))</f>
        <v>1.850250659</v>
      </c>
      <c r="K19" s="28">
        <f>((G2*C4)-((B18+B19)*G2))/(G2*C4-2*(B18+B19)*G2+(B18+B19)*G4)</f>
        <v>0.6526863857</v>
      </c>
      <c r="L19" s="29">
        <f>(I19+1)/2</f>
        <v>0.5425966165</v>
      </c>
      <c r="M19" s="29">
        <f>(2*B18)/(2*B18+C18+B19)</f>
        <v>0.06280454792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41</v>
      </c>
      <c r="C21" s="26">
        <f>H3</f>
        <v>146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47</v>
      </c>
      <c r="C22" s="25">
        <f>C3-H3</f>
        <v>4704</v>
      </c>
      <c r="D22" s="31">
        <f>SUM(B21:C22)</f>
        <v>4938</v>
      </c>
      <c r="F22" s="28">
        <f>B21/(B21+B22)</f>
        <v>0.4659090909</v>
      </c>
      <c r="G22" s="28">
        <f>C22/(C22+C21)</f>
        <v>0.9698969072</v>
      </c>
      <c r="H22" s="28">
        <f>(C22+B21)/D22</f>
        <v>0.9609153503</v>
      </c>
      <c r="I22" s="28">
        <f>((B21*C22)-(C21*B22))/SQRT((B21+C21)*(B21+B22)*(C22+C21)*(C22+B22))</f>
        <v>0.3020592155</v>
      </c>
      <c r="J22" s="28">
        <f>C4*H2/(H4*(B21+B22))</f>
        <v>12.30298979</v>
      </c>
      <c r="K22" s="28">
        <f>((H2*C4)-((B21+B22)*H2))/(H2*C4-2*(B21+B22)*H2+(B21+B22)*H4)</f>
        <v>0.9393097715</v>
      </c>
      <c r="L22" s="29">
        <f>(I22+1)/2</f>
        <v>0.6510296078</v>
      </c>
      <c r="M22" s="29">
        <f>(2*B21)/(2*B21+C21+B22)</f>
        <v>0.2981818182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38</v>
      </c>
      <c r="C24" s="26">
        <f>I3</f>
        <v>1764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50</v>
      </c>
      <c r="C25" s="25">
        <f>C3-I3</f>
        <v>3086</v>
      </c>
      <c r="D25" s="31">
        <f>SUM(B24:C25)</f>
        <v>4938</v>
      </c>
      <c r="F25" s="28">
        <f>B24/(B24+B25)</f>
        <v>0.4318181818</v>
      </c>
      <c r="G25" s="28">
        <f>C25/(C25+C24)</f>
        <v>0.6362886598</v>
      </c>
      <c r="H25" s="28">
        <f>(C25+B24)/D25</f>
        <v>0.6326447955</v>
      </c>
      <c r="I25" s="28">
        <f>((B24*C25)-(C24*B25))/SQRT((B24+C24)*(B24+B25)*(C25+C24)*(C25+B25))</f>
        <v>0.0187170554</v>
      </c>
      <c r="J25" s="28">
        <f>C4*I2/(I4*(B24+B25))</f>
        <v>1.183306427</v>
      </c>
      <c r="K25" s="28">
        <f>((I2*C4)-((B24+B25)*I2))/(I2*C4-2*(B24+B25)*I2+(B24+B25)*I4)</f>
        <v>0.54280598</v>
      </c>
      <c r="L25" s="29">
        <f>(I25+1)/2</f>
        <v>0.5093585277</v>
      </c>
      <c r="M25" s="29">
        <f>(2*B24)/(2*B24+C24+B25)</f>
        <v>0.04021164021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6</v>
      </c>
      <c r="C27" s="26">
        <f>J$3</f>
        <v>916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82</v>
      </c>
      <c r="C28" s="25">
        <f>$C$3-J$3</f>
        <v>3934</v>
      </c>
      <c r="D28" s="27">
        <f>SUM(B27:C28)</f>
        <v>4938</v>
      </c>
      <c r="F28" s="28">
        <f>B27/(B27+B28)</f>
        <v>0.06818181818</v>
      </c>
      <c r="G28" s="28">
        <f>C28/(C28+C27)</f>
        <v>0.8111340206</v>
      </c>
      <c r="H28" s="28">
        <f>(C28+B27)/D28</f>
        <v>0.7978938842</v>
      </c>
      <c r="I28" s="28">
        <f>((B27*C28)-(C27*B28))/SQRT((B27+C27)*(B27+B28)*(C28+C27)*(C28+B28))</f>
        <v>-0.04097322693</v>
      </c>
      <c r="J28" s="28">
        <f>$C$4*J$2/(J$4*(B27+B28))</f>
        <v>0.3651646618</v>
      </c>
      <c r="K28" s="28">
        <f>((J$2*$C$4)-((B27+B28)*J$2))/(J$2*$C$4-2*(B27+B28)*J$2+(B27+B28)*J$4)</f>
        <v>0.2652495716</v>
      </c>
      <c r="L28" s="29">
        <f>(I28+1)/2</f>
        <v>0.4795133865</v>
      </c>
      <c r="M28" s="29">
        <f>(2*B27)/(2*B27+C27+B28)</f>
        <v>0.01188118812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1</v>
      </c>
      <c r="C30" s="26">
        <f>K$3</f>
        <v>5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87</v>
      </c>
      <c r="C31" s="25">
        <f>$C$3-K$3</f>
        <v>4845</v>
      </c>
      <c r="D31" s="27">
        <f>SUM(B30:C31)</f>
        <v>4938</v>
      </c>
      <c r="F31" s="28">
        <f>B30/(B30+B31)</f>
        <v>0.01136363636</v>
      </c>
      <c r="G31" s="28">
        <f>C31/(C31+C30)</f>
        <v>0.9989690722</v>
      </c>
      <c r="H31" s="28">
        <f>(C31+B30)/D31</f>
        <v>0.9813689753</v>
      </c>
      <c r="I31" s="28">
        <f>((B30*C31)-(C30*B31))/SQRT((B30+C30)*(B30+B31)*(C31+C30)*(C31+B31))</f>
        <v>0.03924092399</v>
      </c>
      <c r="J31" s="28">
        <f>$C$4*K$2/(K$4*(B30+B31))</f>
        <v>9.352272727</v>
      </c>
      <c r="K31" s="28">
        <f>((K$2*$C$4)-((B30+B31)*K$2))/(K$2*$C$4-2*(B30+B31)*K$2+(B30+B31)*K$4)</f>
        <v>0.9168241966</v>
      </c>
      <c r="L31" s="29">
        <f>(I31+1)/2</f>
        <v>0.519620462</v>
      </c>
      <c r="M31" s="29">
        <f>(2*B30)/(2*B30+C30+B31)</f>
        <v>0.02127659574</v>
      </c>
    </row>
    <row r="32" ht="15.75" customHeight="1">
      <c r="F32" s="40"/>
      <c r="G32" s="40"/>
      <c r="H32" s="40"/>
      <c r="I32" s="40"/>
      <c r="J32" s="40"/>
      <c r="K32" s="24"/>
      <c r="L32" s="29"/>
      <c r="M32" s="29"/>
    </row>
    <row r="33" ht="15.75" customHeight="1">
      <c r="A33" s="39" t="s">
        <v>68</v>
      </c>
      <c r="B33" s="25">
        <f>L$2</f>
        <v>1</v>
      </c>
      <c r="C33" s="26">
        <f>L$3</f>
        <v>3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87</v>
      </c>
      <c r="C34" s="25">
        <f>$C$3-L$3</f>
        <v>4847</v>
      </c>
      <c r="D34" s="27">
        <f>SUM(B33:C34)</f>
        <v>4938</v>
      </c>
      <c r="F34" s="28">
        <f>B33/(B33+B34)</f>
        <v>0.01136363636</v>
      </c>
      <c r="G34" s="28">
        <f>C34/(C34+C33)</f>
        <v>0.9993814433</v>
      </c>
      <c r="H34" s="28">
        <f>(C34+B33)/D34</f>
        <v>0.9817739976</v>
      </c>
      <c r="I34" s="28">
        <f>((B33*C34)-(C33*B34))/SQRT((B33+C33)*(B33+B34)*(C34+C33)*(C34+B34))</f>
        <v>0.04996803565</v>
      </c>
      <c r="J34" s="28">
        <f>$C$4*L$2/(L$4*(B33+B34))</f>
        <v>14.02840909</v>
      </c>
      <c r="K34" s="28">
        <f>((L$2*$C$4)-((B33+B34)*L$2))/(L$2*$C$4-2*(B33+B34)*L$2+(B33+B34)*L$4)</f>
        <v>0.9483770043</v>
      </c>
      <c r="L34" s="29">
        <f>(I34+1)/2</f>
        <v>0.5249840178</v>
      </c>
      <c r="M34" s="29">
        <f>(2*B33)/(2*B33+C33+B34)</f>
        <v>0.02173913043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6</v>
      </c>
      <c r="C36" s="26">
        <f>M$3</f>
        <v>284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82</v>
      </c>
      <c r="C37" s="25">
        <f>$C$3-M$3</f>
        <v>4566</v>
      </c>
      <c r="D37" s="27">
        <f>SUM(B36:C37)</f>
        <v>4938</v>
      </c>
      <c r="F37" s="28">
        <f>B36/(B36+B37)</f>
        <v>0.06818181818</v>
      </c>
      <c r="G37" s="28">
        <f>C37/(C37+C36)</f>
        <v>0.941443299</v>
      </c>
      <c r="H37" s="28">
        <f>(C37+B36)/D37</f>
        <v>0.9258809235</v>
      </c>
      <c r="I37" s="28">
        <f>((B36*C37)-(C36*B37))/SQRT((B36+C36)*(B36+B37)*(C37+C36)*(C37+B37))</f>
        <v>0.005416093722</v>
      </c>
      <c r="J37" s="28">
        <f>$C$4*M$2/(M$4*(B36+B37))</f>
        <v>1.160971787</v>
      </c>
      <c r="K37" s="28">
        <f>((M$2*$C$4)-((B36+B37)*M$2))/(M$2*$C$4-2*(B36+B37)*M$2+(B36+B37)*M$4)</f>
        <v>0.5379723434</v>
      </c>
      <c r="L37" s="29">
        <f>(I37+1)/2</f>
        <v>0.5027080469</v>
      </c>
      <c r="M37" s="29">
        <f>(2*B36)/(2*B36+C36+B37)</f>
        <v>0.03174603175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9" width="10.14"/>
    <col customWidth="1" min="10" max="10" width="11.14"/>
    <col customWidth="1" min="11" max="11" width="10.14"/>
    <col customWidth="1" min="12" max="12" width="8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107.0</v>
      </c>
      <c r="C2" s="24">
        <v>107.0</v>
      </c>
      <c r="D2" s="24">
        <v>75.0</v>
      </c>
      <c r="E2" s="24">
        <v>91.0</v>
      </c>
      <c r="F2" s="24">
        <v>1.0</v>
      </c>
      <c r="G2" s="24">
        <v>27.0</v>
      </c>
      <c r="H2" s="24">
        <v>40.0</v>
      </c>
      <c r="I2" s="24">
        <v>12.0</v>
      </c>
      <c r="J2" s="24">
        <v>51.0</v>
      </c>
      <c r="K2" s="24">
        <v>12.0</v>
      </c>
      <c r="L2" s="24">
        <v>86.0</v>
      </c>
      <c r="M2" s="24">
        <v>8.0</v>
      </c>
      <c r="N2" s="24"/>
      <c r="O2" s="24"/>
    </row>
    <row r="3">
      <c r="A3" s="24" t="s">
        <v>71</v>
      </c>
      <c r="B3" s="24">
        <v>6500.0</v>
      </c>
      <c r="C3" s="24">
        <v>6500.0</v>
      </c>
      <c r="D3" s="24">
        <v>933.0</v>
      </c>
      <c r="E3" s="24">
        <v>2647.0</v>
      </c>
      <c r="F3" s="24">
        <v>0.0</v>
      </c>
      <c r="G3" s="24">
        <v>346.0</v>
      </c>
      <c r="H3" s="24">
        <v>175.0</v>
      </c>
      <c r="I3" s="24">
        <v>310.0</v>
      </c>
      <c r="J3" s="24">
        <v>375.0</v>
      </c>
      <c r="K3" s="24">
        <v>188.0</v>
      </c>
      <c r="L3" s="24">
        <v>1777.0</v>
      </c>
      <c r="M3" s="24">
        <v>105.0</v>
      </c>
      <c r="N3" s="24"/>
      <c r="O3" s="24"/>
    </row>
    <row r="4">
      <c r="A4" s="24" t="s">
        <v>72</v>
      </c>
      <c r="B4" s="24">
        <f t="shared" ref="B4:M4" si="1">SUM(B2:B3)</f>
        <v>6607</v>
      </c>
      <c r="C4" s="24">
        <f t="shared" si="1"/>
        <v>6607</v>
      </c>
      <c r="D4" s="24">
        <f t="shared" si="1"/>
        <v>1008</v>
      </c>
      <c r="E4" s="24">
        <f t="shared" si="1"/>
        <v>2738</v>
      </c>
      <c r="F4" s="24">
        <f t="shared" si="1"/>
        <v>1</v>
      </c>
      <c r="G4" s="24">
        <f t="shared" si="1"/>
        <v>373</v>
      </c>
      <c r="H4" s="24">
        <f t="shared" si="1"/>
        <v>215</v>
      </c>
      <c r="I4" s="24">
        <f t="shared" si="1"/>
        <v>322</v>
      </c>
      <c r="J4" s="24">
        <f t="shared" si="1"/>
        <v>426</v>
      </c>
      <c r="K4" s="24">
        <f t="shared" si="1"/>
        <v>200</v>
      </c>
      <c r="L4" s="24">
        <f t="shared" si="1"/>
        <v>1863</v>
      </c>
      <c r="M4" s="24">
        <f t="shared" si="1"/>
        <v>113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75</v>
      </c>
      <c r="C9" s="26">
        <f>D3</f>
        <v>933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32</v>
      </c>
      <c r="C10" s="25">
        <f>C3-D3</f>
        <v>5567</v>
      </c>
      <c r="D10" s="27">
        <f>SUM(B9:C10)</f>
        <v>6607</v>
      </c>
      <c r="F10" s="28">
        <f>B9/(B9+B10)</f>
        <v>0.7009345794</v>
      </c>
      <c r="G10" s="28">
        <f>C10/(C10+C9)</f>
        <v>0.8564615385</v>
      </c>
      <c r="H10" s="28">
        <f>(C10+B9)/D10</f>
        <v>0.853942788</v>
      </c>
      <c r="I10" s="28">
        <f>((B9*C10)-(C9*B10))/SQRT((B9+C9)*(B9+B10)*(C10+C9)*(C10+B10))</f>
        <v>0.1956712444</v>
      </c>
      <c r="J10" s="28">
        <f>C4*D2/(D4*(B9+B10))</f>
        <v>4.594320205</v>
      </c>
      <c r="K10" s="28">
        <f>((D2*C4)-((B9+B10)*D2))/(D2*C4-2*(B9+B10)*D2+(B9+B10)*D4)</f>
        <v>0.830025999</v>
      </c>
      <c r="L10" s="29">
        <f>(I10+1)/2</f>
        <v>0.5978356222</v>
      </c>
      <c r="M10" s="29">
        <f>(2*B9)/(2*B9+C9+B10)</f>
        <v>0.134529148</v>
      </c>
    </row>
    <row r="11">
      <c r="F11" s="28"/>
      <c r="G11" s="28"/>
      <c r="H11" s="28"/>
      <c r="I11" s="28"/>
      <c r="J11" s="28"/>
      <c r="K11" s="28"/>
    </row>
    <row r="12">
      <c r="A12" s="27" t="s">
        <v>61</v>
      </c>
      <c r="B12" s="25">
        <f>E2</f>
        <v>91</v>
      </c>
      <c r="C12" s="26">
        <f>E3</f>
        <v>2647</v>
      </c>
      <c r="F12" s="30" t="s">
        <v>77</v>
      </c>
      <c r="G12" s="30" t="s">
        <v>78</v>
      </c>
      <c r="H12" s="30" t="s">
        <v>15</v>
      </c>
      <c r="I12" s="30" t="s">
        <v>79</v>
      </c>
      <c r="J12" s="30" t="s">
        <v>80</v>
      </c>
      <c r="K12" s="30" t="s">
        <v>81</v>
      </c>
      <c r="L12" s="22" t="s">
        <v>82</v>
      </c>
      <c r="M12" s="22" t="s">
        <v>83</v>
      </c>
    </row>
    <row r="13">
      <c r="B13" s="26">
        <f>C2-E2</f>
        <v>16</v>
      </c>
      <c r="C13" s="25">
        <f>C3-E3</f>
        <v>3853</v>
      </c>
      <c r="D13" s="31">
        <f>SUM(B12:C13)</f>
        <v>6607</v>
      </c>
      <c r="F13" s="28">
        <f>B12/(B12+B13)</f>
        <v>0.8504672897</v>
      </c>
      <c r="G13" s="28">
        <f>C13/(C13+C12)</f>
        <v>0.5927692308</v>
      </c>
      <c r="H13" s="28">
        <f>(C13+B12)/D13</f>
        <v>0.5969426366</v>
      </c>
      <c r="I13" s="28">
        <f>((B12*C13)-(C12*B13))/SQRT((B12+C12)*(B12+B13)*(C13+C12)*(C13+B13))</f>
        <v>0.1135711484</v>
      </c>
      <c r="J13" s="28">
        <f>C4*E2/(E4*(B12+B13))</f>
        <v>2.052241557</v>
      </c>
      <c r="K13" s="28">
        <f>((E2*C4)-((B12+B13)*E2))/(E2*C4-2*(B12+B13)*E2+(B12+B13)*E4)</f>
        <v>0.6762094317</v>
      </c>
      <c r="L13" s="29">
        <f>(I13+1)/2</f>
        <v>0.5567855742</v>
      </c>
      <c r="M13" s="29">
        <f>(2*B12)/(2*B12+C12+B13)</f>
        <v>0.06397188049</v>
      </c>
    </row>
    <row r="14">
      <c r="F14" s="28"/>
      <c r="G14" s="28"/>
      <c r="H14" s="28"/>
      <c r="I14" s="28"/>
      <c r="J14" s="28"/>
      <c r="K14" s="28"/>
      <c r="L14" s="29"/>
      <c r="M14" s="29"/>
    </row>
    <row r="15">
      <c r="A15" s="27" t="s">
        <v>62</v>
      </c>
      <c r="B15" s="25">
        <f>F2</f>
        <v>1</v>
      </c>
      <c r="C15" s="26">
        <f>F3</f>
        <v>0</v>
      </c>
      <c r="F15" s="30" t="s">
        <v>77</v>
      </c>
      <c r="G15" s="30" t="s">
        <v>78</v>
      </c>
      <c r="H15" s="30" t="s">
        <v>15</v>
      </c>
      <c r="I15" s="30" t="s">
        <v>79</v>
      </c>
      <c r="J15" s="30" t="s">
        <v>80</v>
      </c>
      <c r="K15" s="30" t="s">
        <v>81</v>
      </c>
      <c r="L15" s="32" t="s">
        <v>82</v>
      </c>
      <c r="M15" s="32" t="s">
        <v>83</v>
      </c>
    </row>
    <row r="16">
      <c r="B16" s="26">
        <f>C2-F2</f>
        <v>106</v>
      </c>
      <c r="C16" s="25">
        <f>C3-F3</f>
        <v>6500</v>
      </c>
      <c r="D16" s="31">
        <f>SUM(B15:C16)</f>
        <v>6607</v>
      </c>
      <c r="F16" s="28">
        <f>B15/(B15+B16)</f>
        <v>0.009345794393</v>
      </c>
      <c r="G16" s="28">
        <f>C16/(C16+C15)</f>
        <v>1</v>
      </c>
      <c r="H16" s="28">
        <f>(C16+B15)/D16</f>
        <v>0.9839564099</v>
      </c>
      <c r="I16" s="28">
        <f>((B15*C16)-(C15*B16))/SQRT((B15+C15)*(B15+B16)*(C16+C15)*(C16+B16))</f>
        <v>0.09589489872</v>
      </c>
      <c r="J16" s="28">
        <f>C4*F2/(F4*(B15+B16))</f>
        <v>61.74766355</v>
      </c>
      <c r="K16" s="28">
        <f>((F2*C4)-((B15+B16)*F2))/(F2*C4-2*(B15+B16)*F2+(B15+B16)*F4)</f>
        <v>1</v>
      </c>
      <c r="L16" s="29">
        <f>(I16+1)/2</f>
        <v>0.5479474494</v>
      </c>
      <c r="M16" s="29">
        <f>(2*B15)/(2*B15+C15+B16)</f>
        <v>0.01851851852</v>
      </c>
    </row>
    <row r="17">
      <c r="F17" s="28"/>
      <c r="G17" s="28"/>
      <c r="H17" s="28"/>
      <c r="I17" s="28"/>
      <c r="J17" s="28"/>
      <c r="K17" s="28"/>
      <c r="L17" s="29"/>
      <c r="M17" s="29"/>
    </row>
    <row r="18">
      <c r="A18" s="27" t="s">
        <v>63</v>
      </c>
      <c r="B18" s="25">
        <f>G2</f>
        <v>27</v>
      </c>
      <c r="C18" s="26">
        <f>G3</f>
        <v>346</v>
      </c>
      <c r="F18" s="30" t="s">
        <v>77</v>
      </c>
      <c r="G18" s="30" t="s">
        <v>78</v>
      </c>
      <c r="H18" s="30" t="s">
        <v>15</v>
      </c>
      <c r="I18" s="30" t="s">
        <v>79</v>
      </c>
      <c r="J18" s="30" t="s">
        <v>80</v>
      </c>
      <c r="K18" s="30" t="s">
        <v>81</v>
      </c>
      <c r="L18" s="32" t="s">
        <v>82</v>
      </c>
      <c r="M18" s="32" t="s">
        <v>83</v>
      </c>
    </row>
    <row r="19">
      <c r="B19" s="26">
        <f>C2-G2</f>
        <v>80</v>
      </c>
      <c r="C19" s="25">
        <f>C3-G3</f>
        <v>6154</v>
      </c>
      <c r="D19" s="31">
        <f>SUM(B18:C19)</f>
        <v>6607</v>
      </c>
      <c r="F19" s="28">
        <f>B18/(B18+B19)</f>
        <v>0.2523364486</v>
      </c>
      <c r="G19" s="28">
        <f>C19/(C19+C18)</f>
        <v>0.9467692308</v>
      </c>
      <c r="H19" s="28">
        <f>(C19+B18)/D19</f>
        <v>0.9355229302</v>
      </c>
      <c r="I19" s="28">
        <f>((B18*C19)-(C18*B19))/SQRT((B18+C18)*(B18+B19)*(C19+C18)*(C19+B19))</f>
        <v>0.1088916053</v>
      </c>
      <c r="J19" s="28">
        <f>C4*G2/(G4*(B18+B19))</f>
        <v>4.469670016</v>
      </c>
      <c r="K19" s="28">
        <f>((G2*C4)-((B18+B19)*G2))/(G2*C4-2*(B18+B19)*G2+(B18+B19)*G4)</f>
        <v>0.8257968587</v>
      </c>
      <c r="L19" s="29">
        <f>(I19+1)/2</f>
        <v>0.5544458027</v>
      </c>
      <c r="M19" s="29">
        <f>(2*B18)/(2*B18+C18+B19)</f>
        <v>0.1125</v>
      </c>
    </row>
    <row r="20">
      <c r="F20" s="28"/>
      <c r="G20" s="28"/>
      <c r="H20" s="28"/>
      <c r="I20" s="28"/>
      <c r="J20" s="28"/>
      <c r="K20" s="28"/>
      <c r="L20" s="29"/>
      <c r="M20" s="29"/>
    </row>
    <row r="21" ht="15.75" customHeight="1">
      <c r="A21" s="27" t="s">
        <v>64</v>
      </c>
      <c r="B21" s="25">
        <f>H2</f>
        <v>40</v>
      </c>
      <c r="C21" s="26">
        <f>H3</f>
        <v>175</v>
      </c>
      <c r="F21" s="30" t="s">
        <v>77</v>
      </c>
      <c r="G21" s="30" t="s">
        <v>78</v>
      </c>
      <c r="H21" s="30" t="s">
        <v>15</v>
      </c>
      <c r="I21" s="30" t="s">
        <v>79</v>
      </c>
      <c r="J21" s="30" t="s">
        <v>80</v>
      </c>
      <c r="K21" s="30" t="s">
        <v>81</v>
      </c>
      <c r="L21" s="32" t="s">
        <v>82</v>
      </c>
      <c r="M21" s="32" t="s">
        <v>83</v>
      </c>
    </row>
    <row r="22" ht="15.75" customHeight="1">
      <c r="B22" s="26">
        <f>C2-H2</f>
        <v>67</v>
      </c>
      <c r="C22" s="25">
        <f>C3-H3</f>
        <v>6325</v>
      </c>
      <c r="D22" s="31">
        <f>SUM(B21:C22)</f>
        <v>6607</v>
      </c>
      <c r="F22" s="28">
        <f>B21/(B21+B22)</f>
        <v>0.3738317757</v>
      </c>
      <c r="G22" s="28">
        <f>C22/(C22+C21)</f>
        <v>0.9730769231</v>
      </c>
      <c r="H22" s="28">
        <f>(C22+B21)/D22</f>
        <v>0.963372181</v>
      </c>
      <c r="I22" s="28">
        <f>((B21*C22)-(C21*B22))/SQRT((B21+C21)*(B21+B22)*(C22+C21)*(C22+B22))</f>
        <v>0.2467891965</v>
      </c>
      <c r="J22" s="28">
        <f>C4*H2/(H4*(B21+B22))</f>
        <v>11.4879374</v>
      </c>
      <c r="K22" s="28">
        <f>((H2*C4)-((B21+B22)*H2))/(H2*C4-2*(B21+B22)*H2+(B21+B22)*H4)</f>
        <v>0.9328190869</v>
      </c>
      <c r="L22" s="29">
        <f>(I22+1)/2</f>
        <v>0.6233945983</v>
      </c>
      <c r="M22" s="29">
        <f>(2*B21)/(2*B21+C21+B22)</f>
        <v>0.248447205</v>
      </c>
    </row>
    <row r="23" ht="15.75" customHeight="1">
      <c r="F23" s="28"/>
      <c r="G23" s="28"/>
      <c r="H23" s="28"/>
      <c r="I23" s="28"/>
      <c r="J23" s="28"/>
      <c r="K23" s="28"/>
      <c r="L23" s="29"/>
      <c r="M23" s="29"/>
    </row>
    <row r="24" ht="15.75" customHeight="1">
      <c r="A24" s="33" t="s">
        <v>65</v>
      </c>
      <c r="B24" s="25">
        <f>I2</f>
        <v>12</v>
      </c>
      <c r="C24" s="26">
        <f>I3</f>
        <v>310</v>
      </c>
      <c r="F24" s="30" t="s">
        <v>77</v>
      </c>
      <c r="G24" s="30" t="s">
        <v>78</v>
      </c>
      <c r="H24" s="30" t="s">
        <v>15</v>
      </c>
      <c r="I24" s="30" t="s">
        <v>79</v>
      </c>
      <c r="J24" s="30" t="s">
        <v>80</v>
      </c>
      <c r="K24" s="30" t="s">
        <v>81</v>
      </c>
      <c r="L24" s="32" t="s">
        <v>82</v>
      </c>
      <c r="M24" s="32" t="s">
        <v>83</v>
      </c>
    </row>
    <row r="25" ht="15.75" customHeight="1">
      <c r="B25" s="26">
        <f>C2-I2</f>
        <v>95</v>
      </c>
      <c r="C25" s="25">
        <f>C3-I3</f>
        <v>6190</v>
      </c>
      <c r="D25" s="31">
        <f>SUM(B24:C25)</f>
        <v>6607</v>
      </c>
      <c r="F25" s="28">
        <f>B24/(B24+B25)</f>
        <v>0.1121495327</v>
      </c>
      <c r="G25" s="28">
        <f>C25/(C25+C24)</f>
        <v>0.9523076923</v>
      </c>
      <c r="H25" s="28">
        <f>(C25+B24)/D25</f>
        <v>0.9387013773</v>
      </c>
      <c r="I25" s="28">
        <f>((B24*C25)-(C24*B25))/SQRT((B24+C24)*(B24+B25)*(C25+C24)*(C25+B25))</f>
        <v>0.03778675475</v>
      </c>
      <c r="J25" s="28">
        <f>C4*I2/(I4*(B24+B25))</f>
        <v>2.301155163</v>
      </c>
      <c r="K25" s="28">
        <f>((I2*C4)-((B24+B25)*I2))/(I2*C4-2*(B24+B25)*I2+(B24+B25)*I4)</f>
        <v>0.7016281371</v>
      </c>
      <c r="L25" s="29">
        <f>(I25+1)/2</f>
        <v>0.5188933774</v>
      </c>
      <c r="M25" s="29">
        <f>(2*B24)/(2*B24+C24+B25)</f>
        <v>0.05594405594</v>
      </c>
    </row>
    <row r="26" ht="15.75" customHeight="1">
      <c r="F26" s="28"/>
      <c r="G26" s="28"/>
      <c r="H26" s="28"/>
      <c r="I26" s="28"/>
      <c r="J26" s="28"/>
      <c r="K26" s="28"/>
      <c r="L26" s="29"/>
      <c r="M26" s="29"/>
    </row>
    <row r="27" ht="15.75" customHeight="1">
      <c r="A27" s="33" t="s">
        <v>66</v>
      </c>
      <c r="B27" s="25">
        <f>J$2</f>
        <v>51</v>
      </c>
      <c r="C27" s="26">
        <f>J$3</f>
        <v>375</v>
      </c>
      <c r="F27" s="30" t="s">
        <v>77</v>
      </c>
      <c r="G27" s="30" t="s">
        <v>78</v>
      </c>
      <c r="H27" s="30" t="s">
        <v>15</v>
      </c>
      <c r="I27" s="30" t="s">
        <v>79</v>
      </c>
      <c r="J27" s="30" t="s">
        <v>80</v>
      </c>
      <c r="K27" s="30" t="s">
        <v>81</v>
      </c>
      <c r="L27" s="32" t="s">
        <v>82</v>
      </c>
      <c r="M27" s="32" t="s">
        <v>83</v>
      </c>
    </row>
    <row r="28" ht="15.75" customHeight="1">
      <c r="B28" s="26">
        <f>$C$2-J$2</f>
        <v>56</v>
      </c>
      <c r="C28" s="25">
        <f>$C$3-J$3</f>
        <v>6125</v>
      </c>
      <c r="D28" s="27">
        <f>SUM(B27:C28)</f>
        <v>6607</v>
      </c>
      <c r="F28" s="28">
        <f>B27/(B27+B28)</f>
        <v>0.476635514</v>
      </c>
      <c r="G28" s="28">
        <f>C28/(C28+C27)</f>
        <v>0.9423076923</v>
      </c>
      <c r="H28" s="28">
        <f>(C28+B27)/D28</f>
        <v>0.9347661571</v>
      </c>
      <c r="I28" s="28">
        <f>((B27*C28)-(C27*B28))/SQRT((B27+C27)*(B27+B28)*(C28+C27)*(C28+B28))</f>
        <v>0.2153126509</v>
      </c>
      <c r="J28" s="28">
        <f>$C$4*J$2/(J$4*(B27+B28))</f>
        <v>7.392325918</v>
      </c>
      <c r="K28" s="28">
        <f>((J$2*$C$4)-((B27+B28)*J$2))/(J$2*$C$4-2*(B27+B28)*J$2+(B27+B28)*J$4)</f>
        <v>0.8920282543</v>
      </c>
      <c r="L28" s="29">
        <f>(I28+1)/2</f>
        <v>0.6076563255</v>
      </c>
      <c r="M28" s="29">
        <f>(2*B27)/(2*B27+C27+B28)</f>
        <v>0.191369606</v>
      </c>
    </row>
    <row r="29" ht="15.75" customHeight="1">
      <c r="F29" s="28"/>
      <c r="G29" s="28"/>
      <c r="H29" s="28"/>
      <c r="I29" s="28"/>
      <c r="J29" s="28"/>
      <c r="K29" s="28"/>
      <c r="L29" s="29"/>
      <c r="M29" s="29"/>
    </row>
    <row r="30" ht="15.75" customHeight="1">
      <c r="A30" s="33" t="s">
        <v>67</v>
      </c>
      <c r="B30" s="25">
        <f>K$2</f>
        <v>12</v>
      </c>
      <c r="C30" s="26">
        <f>K$3</f>
        <v>188</v>
      </c>
      <c r="F30" s="30" t="s">
        <v>77</v>
      </c>
      <c r="G30" s="30" t="s">
        <v>78</v>
      </c>
      <c r="H30" s="30" t="s">
        <v>15</v>
      </c>
      <c r="I30" s="30" t="s">
        <v>79</v>
      </c>
      <c r="J30" s="30" t="s">
        <v>80</v>
      </c>
      <c r="K30" s="30" t="s">
        <v>81</v>
      </c>
      <c r="L30" s="32" t="s">
        <v>82</v>
      </c>
      <c r="M30" s="32" t="s">
        <v>83</v>
      </c>
    </row>
    <row r="31" ht="15.75" customHeight="1">
      <c r="B31" s="26">
        <f>$C$2-K$2</f>
        <v>95</v>
      </c>
      <c r="C31" s="25">
        <f>$C$3-K$3</f>
        <v>6312</v>
      </c>
      <c r="D31" s="27">
        <f>SUM(B30:C31)</f>
        <v>6607</v>
      </c>
      <c r="F31" s="28">
        <f>B30/(B30+B31)</f>
        <v>0.1121495327</v>
      </c>
      <c r="G31" s="28">
        <f>C31/(C31+C30)</f>
        <v>0.9710769231</v>
      </c>
      <c r="H31" s="28">
        <f>(C31+B30)/D31</f>
        <v>0.9571666414</v>
      </c>
      <c r="I31" s="28">
        <f>((B30*C31)-(C30*B31))/SQRT((B30+C30)*(B30+B31)*(C31+C30)*(C31+B31))</f>
        <v>0.06131512357</v>
      </c>
      <c r="J31" s="28">
        <f>$C$4*K$2/(K$4*(B30+B31))</f>
        <v>3.704859813</v>
      </c>
      <c r="K31" s="28">
        <f>((K$2*$C$4)-((B30+B31)*K$2))/(K$2*$C$4-2*(B30+B31)*K$2+(B30+B31)*K$4)</f>
        <v>0.7949773737</v>
      </c>
      <c r="L31" s="29">
        <f>(I31+1)/2</f>
        <v>0.5306575618</v>
      </c>
      <c r="M31" s="29">
        <f>(2*B30)/(2*B30+C30+B31)</f>
        <v>0.07817589577</v>
      </c>
    </row>
    <row r="32" ht="15.75" customHeight="1">
      <c r="K32" s="24"/>
      <c r="L32" s="29"/>
      <c r="M32" s="29"/>
    </row>
    <row r="33" ht="15.75" customHeight="1">
      <c r="A33" s="33" t="s">
        <v>68</v>
      </c>
      <c r="B33" s="25">
        <f>L$2</f>
        <v>86</v>
      </c>
      <c r="C33" s="26">
        <f>L$3</f>
        <v>1777</v>
      </c>
      <c r="F33" s="30" t="s">
        <v>77</v>
      </c>
      <c r="G33" s="30" t="s">
        <v>78</v>
      </c>
      <c r="H33" s="30" t="s">
        <v>15</v>
      </c>
      <c r="I33" s="30" t="s">
        <v>79</v>
      </c>
      <c r="J33" s="30" t="s">
        <v>80</v>
      </c>
      <c r="K33" s="30" t="s">
        <v>81</v>
      </c>
      <c r="L33" s="32" t="s">
        <v>82</v>
      </c>
      <c r="M33" s="32" t="s">
        <v>83</v>
      </c>
    </row>
    <row r="34" ht="15.75" customHeight="1">
      <c r="B34" s="26">
        <f>$C$2-L$2</f>
        <v>21</v>
      </c>
      <c r="C34" s="25">
        <f>$C$3-L$3</f>
        <v>4723</v>
      </c>
      <c r="D34" s="27">
        <f>SUM(B33:C34)</f>
        <v>6607</v>
      </c>
      <c r="F34" s="28">
        <f>B33/(B33+B34)</f>
        <v>0.8037383178</v>
      </c>
      <c r="G34" s="28">
        <f>C34/(C34+C33)</f>
        <v>0.7266153846</v>
      </c>
      <c r="H34" s="28">
        <f>(C34+B33)/D34</f>
        <v>0.7278643863</v>
      </c>
      <c r="I34" s="28">
        <f>((B33*C34)-(C33*B34))/SQRT((B33+C33)*(B33+B34)*(C34+C33)*(C34+B34))</f>
        <v>0.1487768655</v>
      </c>
      <c r="J34" s="28">
        <f>$C$4*L$2/(L$4*(B33+B34))</f>
        <v>2.850402075</v>
      </c>
      <c r="K34" s="28">
        <f>((L$2*$C$4)-((B33+B34)*L$2))/(L$2*$C$4-2*(B33+B34)*L$2+(B33+B34)*L$4)</f>
        <v>0.7461899594</v>
      </c>
      <c r="L34" s="29">
        <f>(I34+1)/2</f>
        <v>0.5743884327</v>
      </c>
      <c r="M34" s="29">
        <f>(2*B33)/(2*B33+C33+B34)</f>
        <v>0.08730964467</v>
      </c>
    </row>
    <row r="35" ht="15.75" customHeight="1">
      <c r="K35" s="24"/>
      <c r="L35" s="29"/>
      <c r="M35" s="29"/>
    </row>
    <row r="36" ht="15.75" customHeight="1">
      <c r="A36" s="27" t="s">
        <v>84</v>
      </c>
      <c r="B36" s="25">
        <f>M$2</f>
        <v>8</v>
      </c>
      <c r="C36" s="26">
        <f>M$3</f>
        <v>105</v>
      </c>
      <c r="F36" s="30" t="s">
        <v>77</v>
      </c>
      <c r="G36" s="30" t="s">
        <v>78</v>
      </c>
      <c r="H36" s="30" t="s">
        <v>15</v>
      </c>
      <c r="I36" s="30" t="s">
        <v>79</v>
      </c>
      <c r="J36" s="30" t="s">
        <v>80</v>
      </c>
      <c r="K36" s="30" t="s">
        <v>81</v>
      </c>
      <c r="L36" s="32" t="s">
        <v>82</v>
      </c>
      <c r="M36" s="32" t="s">
        <v>83</v>
      </c>
    </row>
    <row r="37" ht="15.75" customHeight="1">
      <c r="B37" s="26">
        <f>$C$2-M$2</f>
        <v>99</v>
      </c>
      <c r="C37" s="25">
        <f>$C$3-M$3</f>
        <v>6395</v>
      </c>
      <c r="D37" s="27">
        <f>SUM(B36:C37)</f>
        <v>6607</v>
      </c>
      <c r="F37" s="28">
        <f>B36/(B36+B37)</f>
        <v>0.07476635514</v>
      </c>
      <c r="G37" s="28">
        <f>C37/(C37+C36)</f>
        <v>0.9838461538</v>
      </c>
      <c r="H37" s="28">
        <f>(C37+B36)/D37</f>
        <v>0.9691236567</v>
      </c>
      <c r="I37" s="28">
        <f>((B36*C37)-(C36*B37))/SQRT((B36+C36)*(B36+B37)*(C37+C36)*(C37+B37))</f>
        <v>0.05706154358</v>
      </c>
      <c r="J37" s="28">
        <f>$C$4*M$2/(M$4*(B36+B37))</f>
        <v>4.371516004</v>
      </c>
      <c r="K37" s="28">
        <f>((M$2*$C$4)-((B36+B37)*M$2))/(M$2*$C$4-2*(B36+B37)*M$2+(B36+B37)*M$4)</f>
        <v>0.8223294062</v>
      </c>
      <c r="L37" s="29">
        <f>(I37+1)/2</f>
        <v>0.5285307718</v>
      </c>
      <c r="M37" s="29">
        <f>(2*B36)/(2*B36+C36+B37)</f>
        <v>0.07272727273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9.14"/>
    <col customWidth="1" min="5" max="5" width="11.29"/>
    <col customWidth="1" min="6" max="6" width="11.71"/>
    <col customWidth="1" min="7" max="7" width="12.29"/>
    <col customWidth="1" min="8" max="8" width="10.14"/>
    <col customWidth="1" min="9" max="9" width="10.86"/>
    <col customWidth="1" min="10" max="10" width="11.14"/>
    <col customWidth="1" min="11" max="11" width="10.14"/>
    <col customWidth="1" min="12" max="12" width="8.86"/>
    <col customWidth="1" min="13" max="13" width="16.86"/>
    <col customWidth="1" min="14" max="26" width="8.86"/>
  </cols>
  <sheetData>
    <row r="1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  <c r="I1" s="23" t="s">
        <v>65</v>
      </c>
      <c r="J1" s="23" t="s">
        <v>66</v>
      </c>
      <c r="K1" s="23" t="s">
        <v>67</v>
      </c>
      <c r="L1" s="23" t="s">
        <v>68</v>
      </c>
      <c r="M1" s="22" t="s">
        <v>69</v>
      </c>
    </row>
    <row r="2">
      <c r="A2" s="24" t="s">
        <v>70</v>
      </c>
      <c r="B2" s="24">
        <v>572.0</v>
      </c>
      <c r="C2" s="24">
        <v>572.0</v>
      </c>
      <c r="D2" s="24">
        <v>151.0</v>
      </c>
      <c r="E2" s="24">
        <v>292.0</v>
      </c>
      <c r="F2" s="24">
        <v>2.0</v>
      </c>
      <c r="G2" s="24">
        <v>352.0</v>
      </c>
      <c r="H2" s="24">
        <v>100.0</v>
      </c>
      <c r="I2" s="24">
        <v>266.0</v>
      </c>
      <c r="J2" s="24">
        <v>36.0</v>
      </c>
      <c r="K2" s="24">
        <v>258.0</v>
      </c>
      <c r="L2" s="24">
        <v>11.0</v>
      </c>
      <c r="M2" s="24">
        <v>13.0</v>
      </c>
      <c r="N2" s="24"/>
    </row>
    <row r="3">
      <c r="A3" s="24" t="s">
        <v>71</v>
      </c>
      <c r="B3" s="24">
        <v>37200.0</v>
      </c>
      <c r="C3" s="24">
        <v>37200.0</v>
      </c>
      <c r="D3" s="24">
        <v>237.0</v>
      </c>
      <c r="E3" s="24">
        <v>4950.0</v>
      </c>
      <c r="F3" s="24">
        <v>0.0</v>
      </c>
      <c r="G3" s="24">
        <v>11293.0</v>
      </c>
      <c r="H3" s="24">
        <v>50.0</v>
      </c>
      <c r="I3" s="24">
        <v>1141.0</v>
      </c>
      <c r="J3" s="24">
        <v>7.0</v>
      </c>
      <c r="K3" s="24">
        <v>345.0</v>
      </c>
      <c r="L3" s="24">
        <v>49.0</v>
      </c>
      <c r="M3" s="24">
        <v>2609.0</v>
      </c>
      <c r="N3" s="24"/>
    </row>
    <row r="4">
      <c r="A4" s="24" t="s">
        <v>72</v>
      </c>
      <c r="B4" s="24">
        <f t="shared" ref="B4:M4" si="1">SUM(B2:B3)</f>
        <v>37772</v>
      </c>
      <c r="C4" s="24">
        <f t="shared" si="1"/>
        <v>37772</v>
      </c>
      <c r="D4" s="24">
        <f t="shared" si="1"/>
        <v>388</v>
      </c>
      <c r="E4" s="24">
        <f t="shared" si="1"/>
        <v>5242</v>
      </c>
      <c r="F4" s="24">
        <f t="shared" si="1"/>
        <v>2</v>
      </c>
      <c r="G4" s="24">
        <f t="shared" si="1"/>
        <v>11645</v>
      </c>
      <c r="H4" s="24">
        <f t="shared" si="1"/>
        <v>150</v>
      </c>
      <c r="I4" s="24">
        <f t="shared" si="1"/>
        <v>1407</v>
      </c>
      <c r="J4" s="24">
        <f t="shared" si="1"/>
        <v>43</v>
      </c>
      <c r="K4" s="24">
        <f t="shared" si="1"/>
        <v>603</v>
      </c>
      <c r="L4" s="24">
        <f t="shared" si="1"/>
        <v>60</v>
      </c>
      <c r="M4" s="24">
        <f t="shared" si="1"/>
        <v>2622</v>
      </c>
    </row>
    <row r="6">
      <c r="B6" s="25" t="s">
        <v>73</v>
      </c>
      <c r="C6" s="26" t="s">
        <v>74</v>
      </c>
    </row>
    <row r="7">
      <c r="B7" s="26" t="s">
        <v>75</v>
      </c>
      <c r="C7" s="25" t="s">
        <v>76</v>
      </c>
    </row>
    <row r="9">
      <c r="A9" s="27" t="s">
        <v>60</v>
      </c>
      <c r="B9" s="25">
        <f>D2</f>
        <v>151</v>
      </c>
      <c r="C9" s="26">
        <f>D3</f>
        <v>237</v>
      </c>
      <c r="F9" s="22" t="s">
        <v>77</v>
      </c>
      <c r="G9" s="22" t="s">
        <v>78</v>
      </c>
      <c r="H9" s="22" t="s">
        <v>15</v>
      </c>
      <c r="I9" s="22" t="s">
        <v>79</v>
      </c>
      <c r="J9" s="22" t="s">
        <v>80</v>
      </c>
      <c r="K9" s="22" t="s">
        <v>81</v>
      </c>
      <c r="L9" s="22" t="s">
        <v>82</v>
      </c>
      <c r="M9" s="22" t="s">
        <v>83</v>
      </c>
    </row>
    <row r="10">
      <c r="B10" s="26">
        <f>C2-D2</f>
        <v>421</v>
      </c>
      <c r="C10" s="25">
        <f>C3-D3</f>
        <v>36963</v>
      </c>
      <c r="D10" s="27">
        <f>SUM(B9:C10)</f>
        <v>37772</v>
      </c>
      <c r="F10" s="34">
        <f>B9/(B9+B10)</f>
        <v>0.263986014</v>
      </c>
      <c r="G10" s="34">
        <f>C10/(C10+C9)</f>
        <v>0.9936290323</v>
      </c>
      <c r="H10" s="34">
        <f>(C10+B9)/D10</f>
        <v>0.9825796887</v>
      </c>
      <c r="I10" s="34">
        <f>((B9*C10)-(C9*B10))/SQRT((B9+C9)*(B9+B10)*(C10+C9)*(C10+B10))</f>
        <v>0.3120196622</v>
      </c>
      <c r="J10" s="34">
        <f>C4*D2/(D4*(B9+B10))</f>
        <v>25.69917454</v>
      </c>
      <c r="K10" s="34">
        <f>((D2*C4)-((B9+B10)*D2))/(D2*C4-2*(B9+B10)*D2+(B9+B10)*D4)</f>
        <v>0.9764349798</v>
      </c>
      <c r="L10" s="29">
        <f>(I10+1)/2</f>
        <v>0.6560098311</v>
      </c>
      <c r="M10" s="29">
        <f>(2*B9)/(2*B9+C9+B10)</f>
        <v>0.3145833333</v>
      </c>
    </row>
    <row r="11">
      <c r="F11" s="34"/>
      <c r="G11" s="34"/>
      <c r="H11" s="34"/>
      <c r="I11" s="34"/>
      <c r="J11" s="34"/>
      <c r="K11" s="34"/>
    </row>
    <row r="12">
      <c r="A12" s="27" t="s">
        <v>61</v>
      </c>
      <c r="B12" s="25">
        <f>E2</f>
        <v>292</v>
      </c>
      <c r="C12" s="26">
        <f>E3</f>
        <v>4950</v>
      </c>
      <c r="F12" s="32" t="s">
        <v>77</v>
      </c>
      <c r="G12" s="32" t="s">
        <v>78</v>
      </c>
      <c r="H12" s="32" t="s">
        <v>15</v>
      </c>
      <c r="I12" s="32" t="s">
        <v>79</v>
      </c>
      <c r="J12" s="32" t="s">
        <v>80</v>
      </c>
      <c r="K12" s="32" t="s">
        <v>81</v>
      </c>
      <c r="L12" s="22" t="s">
        <v>82</v>
      </c>
      <c r="M12" s="22" t="s">
        <v>83</v>
      </c>
    </row>
    <row r="13">
      <c r="B13" s="26">
        <f>C2-E2</f>
        <v>280</v>
      </c>
      <c r="C13" s="25">
        <f>C3-E3</f>
        <v>32250</v>
      </c>
      <c r="D13" s="31">
        <f>SUM(B12:C13)</f>
        <v>37772</v>
      </c>
      <c r="F13" s="34">
        <f>B12/(B12+B13)</f>
        <v>0.5104895105</v>
      </c>
      <c r="G13" s="34">
        <f>C13/(C13+C12)</f>
        <v>0.8669354839</v>
      </c>
      <c r="H13" s="34">
        <f>(C13+B12)/D13</f>
        <v>0.8615376469</v>
      </c>
      <c r="I13" s="34">
        <f>((B12*C13)-(C12*B13))/SQRT((B12+C12)*(B12+B13)*(C13+C12)*(C13+B13))</f>
        <v>0.1333243889</v>
      </c>
      <c r="J13" s="34">
        <f>C4*E2/(E4*(B12+B13))</f>
        <v>3.678407057</v>
      </c>
      <c r="K13" s="34">
        <f>((E2*C4)-((B12+B13)*E2))/(E2*C4-2*(B12+B13)*E2+(B12+B13)*E4)</f>
        <v>0.7932348946</v>
      </c>
      <c r="L13" s="29">
        <f>(I13+1)/2</f>
        <v>0.5666621944</v>
      </c>
      <c r="M13" s="29">
        <f>(2*B12)/(2*B12+C12+B13)</f>
        <v>0.1004471964</v>
      </c>
    </row>
    <row r="14">
      <c r="F14" s="34"/>
      <c r="G14" s="34"/>
      <c r="H14" s="34"/>
      <c r="I14" s="34"/>
      <c r="J14" s="34"/>
      <c r="K14" s="34"/>
      <c r="L14" s="29"/>
      <c r="M14" s="29"/>
    </row>
    <row r="15">
      <c r="A15" s="27" t="s">
        <v>62</v>
      </c>
      <c r="B15" s="25">
        <f>F2</f>
        <v>2</v>
      </c>
      <c r="C15" s="26">
        <f>F3</f>
        <v>0</v>
      </c>
      <c r="F15" s="32" t="s">
        <v>77</v>
      </c>
      <c r="G15" s="32" t="s">
        <v>78</v>
      </c>
      <c r="H15" s="32" t="s">
        <v>15</v>
      </c>
      <c r="I15" s="32" t="s">
        <v>79</v>
      </c>
      <c r="J15" s="32" t="s">
        <v>80</v>
      </c>
      <c r="K15" s="32" t="s">
        <v>81</v>
      </c>
      <c r="L15" s="32" t="s">
        <v>82</v>
      </c>
      <c r="M15" s="32" t="s">
        <v>83</v>
      </c>
    </row>
    <row r="16">
      <c r="B16" s="26">
        <f>C2-F2</f>
        <v>570</v>
      </c>
      <c r="C16" s="25">
        <f>C3-F3</f>
        <v>37200</v>
      </c>
      <c r="D16" s="31">
        <f>SUM(B15:C16)</f>
        <v>37772</v>
      </c>
      <c r="F16" s="34">
        <f>B15/(B15+B16)</f>
        <v>0.003496503497</v>
      </c>
      <c r="G16" s="34">
        <f>C16/(C16+C15)</f>
        <v>1</v>
      </c>
      <c r="H16" s="34">
        <f>(C16+B15)/D16</f>
        <v>0.9849094567</v>
      </c>
      <c r="I16" s="34">
        <f>((B15*C16)-(C15*B16))/SQRT((B15+C15)*(B15+B16)*(C16+C15)*(C16+B16))</f>
        <v>0.0586833585</v>
      </c>
      <c r="J16" s="34">
        <f>C4*F2/(F4*(B15+B16))</f>
        <v>66.03496503</v>
      </c>
      <c r="K16" s="34">
        <f>((F2*C4)-((B15+B16)*F2))/(F2*C4-2*(B15+B16)*F2+(B15+B16)*F4)</f>
        <v>1</v>
      </c>
      <c r="L16" s="29">
        <f>(I16+1)/2</f>
        <v>0.5293416793</v>
      </c>
      <c r="M16" s="29">
        <f>(2*B15)/(2*B15+C15+B16)</f>
        <v>0.006968641115</v>
      </c>
    </row>
    <row r="17">
      <c r="F17" s="34"/>
      <c r="G17" s="34"/>
      <c r="H17" s="34"/>
      <c r="I17" s="34"/>
      <c r="J17" s="34"/>
      <c r="K17" s="34"/>
      <c r="L17" s="29"/>
      <c r="M17" s="29"/>
    </row>
    <row r="18">
      <c r="A18" s="27" t="s">
        <v>63</v>
      </c>
      <c r="B18" s="25">
        <f>G2</f>
        <v>352</v>
      </c>
      <c r="C18" s="26">
        <f>G3</f>
        <v>11293</v>
      </c>
      <c r="F18" s="32" t="s">
        <v>77</v>
      </c>
      <c r="G18" s="32" t="s">
        <v>78</v>
      </c>
      <c r="H18" s="32" t="s">
        <v>15</v>
      </c>
      <c r="I18" s="32" t="s">
        <v>79</v>
      </c>
      <c r="J18" s="32" t="s">
        <v>80</v>
      </c>
      <c r="K18" s="32" t="s">
        <v>81</v>
      </c>
      <c r="L18" s="32" t="s">
        <v>82</v>
      </c>
      <c r="M18" s="32" t="s">
        <v>83</v>
      </c>
    </row>
    <row r="19">
      <c r="B19" s="26">
        <f>C2-G2</f>
        <v>220</v>
      </c>
      <c r="C19" s="25">
        <f>C3-G3</f>
        <v>25907</v>
      </c>
      <c r="D19" s="31">
        <f>SUM(B18:C19)</f>
        <v>37772</v>
      </c>
      <c r="F19" s="34">
        <f>B18/(B18+B19)</f>
        <v>0.6153846154</v>
      </c>
      <c r="G19" s="34">
        <f>C19/(C19+C18)</f>
        <v>0.6964247312</v>
      </c>
      <c r="H19" s="34">
        <f>(C19+B18)/D19</f>
        <v>0.6951975008</v>
      </c>
      <c r="I19" s="34">
        <f>((B18*C19)-(C18*B19))/SQRT((B18+C18)*(B18+B19)*(C19+C18)*(C19+B19))</f>
        <v>0.08246014505</v>
      </c>
      <c r="J19" s="34">
        <f>C4*G2/(G4*(B18+B19))</f>
        <v>1.996076229</v>
      </c>
      <c r="K19" s="34">
        <f>((G2*C4)-((B18+B19)*G2))/(G2*C4-2*(B18+B19)*G2+(B18+B19)*G4)</f>
        <v>0.6696534049</v>
      </c>
      <c r="L19" s="29">
        <f>(I19+1)/2</f>
        <v>0.5412300725</v>
      </c>
      <c r="M19" s="29">
        <f>(2*B18)/(2*B18+C18+B19)</f>
        <v>0.05762462143</v>
      </c>
    </row>
    <row r="20">
      <c r="F20" s="34"/>
      <c r="G20" s="34"/>
      <c r="H20" s="34"/>
      <c r="I20" s="34"/>
      <c r="J20" s="34"/>
      <c r="K20" s="34"/>
      <c r="L20" s="29"/>
      <c r="M20" s="29"/>
    </row>
    <row r="21" ht="15.75" customHeight="1">
      <c r="A21" s="27" t="s">
        <v>64</v>
      </c>
      <c r="B21" s="25">
        <f>H2</f>
        <v>100</v>
      </c>
      <c r="C21" s="26">
        <f>H3</f>
        <v>50</v>
      </c>
      <c r="F21" s="32" t="s">
        <v>77</v>
      </c>
      <c r="G21" s="32" t="s">
        <v>78</v>
      </c>
      <c r="H21" s="32" t="s">
        <v>15</v>
      </c>
      <c r="I21" s="32" t="s">
        <v>79</v>
      </c>
      <c r="J21" s="32" t="s">
        <v>80</v>
      </c>
      <c r="K21" s="32" t="s">
        <v>81</v>
      </c>
      <c r="L21" s="32" t="s">
        <v>82</v>
      </c>
      <c r="M21" s="32" t="s">
        <v>83</v>
      </c>
    </row>
    <row r="22" ht="15.75" customHeight="1">
      <c r="B22" s="26">
        <f>C2-H2</f>
        <v>472</v>
      </c>
      <c r="C22" s="25">
        <f>C3-H3</f>
        <v>37150</v>
      </c>
      <c r="D22" s="31">
        <f>SUM(B21:C22)</f>
        <v>37772</v>
      </c>
      <c r="F22" s="34">
        <f>B21/(B21+B22)</f>
        <v>0.1748251748</v>
      </c>
      <c r="G22" s="34">
        <f>C22/(C22+C21)</f>
        <v>0.998655914</v>
      </c>
      <c r="H22" s="34">
        <f>(C22+B21)/D22</f>
        <v>0.9861802393</v>
      </c>
      <c r="I22" s="34">
        <f>((B21*C22)-(C21*B22))/SQRT((B21+C21)*(B21+B22)*(C22+C21)*(C22+B22))</f>
        <v>0.3368643515</v>
      </c>
      <c r="J22" s="34">
        <f>C4*H2/(H4*(B21+B22))</f>
        <v>44.02331002</v>
      </c>
      <c r="K22" s="34">
        <f>((H2*C4)-((B21+B22)*H2))/(H2*C4-2*(B21+B22)*H2+(B21+B22)*H4)</f>
        <v>0.992370485</v>
      </c>
      <c r="L22" s="29">
        <f>(I22+1)/2</f>
        <v>0.6684321758</v>
      </c>
      <c r="M22" s="29">
        <f>(2*B21)/(2*B21+C21+B22)</f>
        <v>0.2770083102</v>
      </c>
    </row>
    <row r="23" ht="15.75" customHeight="1">
      <c r="F23" s="34"/>
      <c r="G23" s="34"/>
      <c r="H23" s="34"/>
      <c r="I23" s="34"/>
      <c r="J23" s="34"/>
      <c r="K23" s="34"/>
      <c r="L23" s="29"/>
      <c r="M23" s="29"/>
    </row>
    <row r="24" ht="15.75" customHeight="1">
      <c r="A24" s="33" t="s">
        <v>65</v>
      </c>
      <c r="B24" s="25">
        <f>I2</f>
        <v>266</v>
      </c>
      <c r="C24" s="26">
        <f>I3</f>
        <v>1141</v>
      </c>
      <c r="F24" s="32" t="s">
        <v>77</v>
      </c>
      <c r="G24" s="32" t="s">
        <v>78</v>
      </c>
      <c r="H24" s="32" t="s">
        <v>15</v>
      </c>
      <c r="I24" s="32" t="s">
        <v>79</v>
      </c>
      <c r="J24" s="32" t="s">
        <v>80</v>
      </c>
      <c r="K24" s="32" t="s">
        <v>81</v>
      </c>
      <c r="L24" s="32" t="s">
        <v>82</v>
      </c>
      <c r="M24" s="32" t="s">
        <v>83</v>
      </c>
    </row>
    <row r="25" ht="15.75" customHeight="1">
      <c r="B25" s="26">
        <f>C2-I2</f>
        <v>306</v>
      </c>
      <c r="C25" s="25">
        <f>C3-I3</f>
        <v>36059</v>
      </c>
      <c r="D25" s="31">
        <f>SUM(B24:C25)</f>
        <v>37772</v>
      </c>
      <c r="F25" s="34">
        <f>B24/(B24+B25)</f>
        <v>0.465034965</v>
      </c>
      <c r="G25" s="34">
        <f>C25/(C25+C24)</f>
        <v>0.969327957</v>
      </c>
      <c r="H25" s="34">
        <f>(C25+B24)/D25</f>
        <v>0.9616911998</v>
      </c>
      <c r="I25" s="34">
        <f>((B24*C25)-(C24*B25))/SQRT((B24+C24)*(B24+B25)*(C25+C24)*(C25+B25))</f>
        <v>0.280113078</v>
      </c>
      <c r="J25" s="34">
        <f>C4*I2/(I4*(B24+B25))</f>
        <v>12.48422225</v>
      </c>
      <c r="K25" s="34">
        <f>((I2*C4)-((B24+B25)*I2))/(I2*C4-2*(B24+B25)*I2+(B24+B25)*I4)</f>
        <v>0.9381246532</v>
      </c>
      <c r="L25" s="29">
        <f>(I25+1)/2</f>
        <v>0.640056539</v>
      </c>
      <c r="M25" s="29">
        <f>(2*B24)/(2*B24+C24+B25)</f>
        <v>0.2688226377</v>
      </c>
    </row>
    <row r="26" ht="15.75" customHeight="1">
      <c r="F26" s="34"/>
      <c r="G26" s="34"/>
      <c r="H26" s="34"/>
      <c r="I26" s="34"/>
      <c r="J26" s="34"/>
      <c r="K26" s="34"/>
      <c r="L26" s="29"/>
      <c r="M26" s="29"/>
    </row>
    <row r="27" ht="15.75" customHeight="1">
      <c r="A27" s="33" t="s">
        <v>66</v>
      </c>
      <c r="B27" s="25">
        <f>J$2</f>
        <v>36</v>
      </c>
      <c r="C27" s="26">
        <f>J$3</f>
        <v>7</v>
      </c>
      <c r="F27" s="32" t="s">
        <v>77</v>
      </c>
      <c r="G27" s="32" t="s">
        <v>78</v>
      </c>
      <c r="H27" s="32" t="s">
        <v>15</v>
      </c>
      <c r="I27" s="32" t="s">
        <v>79</v>
      </c>
      <c r="J27" s="32" t="s">
        <v>80</v>
      </c>
      <c r="K27" s="32" t="s">
        <v>81</v>
      </c>
      <c r="L27" s="32" t="s">
        <v>82</v>
      </c>
      <c r="M27" s="32" t="s">
        <v>83</v>
      </c>
    </row>
    <row r="28" ht="15.75" customHeight="1">
      <c r="B28" s="26">
        <f>$C$2-J$2</f>
        <v>536</v>
      </c>
      <c r="C28" s="25">
        <f>$C$3-J$3</f>
        <v>37193</v>
      </c>
      <c r="D28" s="27">
        <f>SUM(B27:C28)</f>
        <v>37772</v>
      </c>
      <c r="F28" s="34">
        <f>B27/(B27+B28)</f>
        <v>0.06293706294</v>
      </c>
      <c r="G28" s="34">
        <f>C28/(C28+C27)</f>
        <v>0.999811828</v>
      </c>
      <c r="H28" s="34">
        <f>(C28+B27)/D28</f>
        <v>0.9856242719</v>
      </c>
      <c r="I28" s="34">
        <f>((B27*C28)-(C27*B28))/SQRT((B27+C27)*(B27+B28)*(C28+C27)*(C28+B28))</f>
        <v>0.2272498804</v>
      </c>
      <c r="J28" s="34">
        <f>$C$4*J$2/(J$4*(B27+B28))</f>
        <v>55.28508701</v>
      </c>
      <c r="K28" s="34">
        <f>((J$2*$C$4)-((B27+B28)*J$2))/(J$2*$C$4-2*(B27+B28)*J$2+(B27+B28)*J$4)</f>
        <v>0.9970190678</v>
      </c>
      <c r="L28" s="29">
        <f>(I28+1)/2</f>
        <v>0.6136249402</v>
      </c>
      <c r="M28" s="29">
        <f>(2*B27)/(2*B27+C27+B28)</f>
        <v>0.1170731707</v>
      </c>
    </row>
    <row r="29" ht="15.75" customHeight="1">
      <c r="F29" s="34"/>
      <c r="G29" s="34"/>
      <c r="H29" s="34"/>
      <c r="I29" s="34"/>
      <c r="J29" s="34"/>
      <c r="K29" s="34"/>
      <c r="L29" s="29"/>
      <c r="M29" s="29"/>
    </row>
    <row r="30" ht="15.75" customHeight="1">
      <c r="A30" s="33" t="s">
        <v>67</v>
      </c>
      <c r="B30" s="25">
        <f>K$2</f>
        <v>258</v>
      </c>
      <c r="C30" s="26">
        <f>K$3</f>
        <v>345</v>
      </c>
      <c r="F30" s="32" t="s">
        <v>77</v>
      </c>
      <c r="G30" s="32" t="s">
        <v>78</v>
      </c>
      <c r="H30" s="32" t="s">
        <v>15</v>
      </c>
      <c r="I30" s="32" t="s">
        <v>79</v>
      </c>
      <c r="J30" s="32" t="s">
        <v>80</v>
      </c>
      <c r="K30" s="32" t="s">
        <v>81</v>
      </c>
      <c r="L30" s="32" t="s">
        <v>82</v>
      </c>
      <c r="M30" s="32" t="s">
        <v>83</v>
      </c>
    </row>
    <row r="31" ht="15.75" customHeight="1">
      <c r="B31" s="26">
        <f>$C$2-K$2</f>
        <v>314</v>
      </c>
      <c r="C31" s="25">
        <f>$C$3-K$3</f>
        <v>36855</v>
      </c>
      <c r="D31" s="27">
        <f>SUM(B30:C31)</f>
        <v>37772</v>
      </c>
      <c r="F31" s="34">
        <f>B30/(B30+B31)</f>
        <v>0.451048951</v>
      </c>
      <c r="G31" s="34">
        <f>C31/(C31+C30)</f>
        <v>0.9907258065</v>
      </c>
      <c r="H31" s="34">
        <f>(C31+B30)/D31</f>
        <v>0.982553214</v>
      </c>
      <c r="I31" s="34">
        <f>((B30*C31)-(C30*B31))/SQRT((B30+C30)*(B30+B31)*(C31+C30)*(C31+B31))</f>
        <v>0.4304485874</v>
      </c>
      <c r="J31" s="34">
        <f>$C$4*K$2/(K$4*(B30+B31))</f>
        <v>28.25376613</v>
      </c>
      <c r="K31" s="34">
        <f>((K$2*$C$4)-((B30+B31)*K$2))/(K$2*$C$4-2*(B30+B31)*K$2+(B30+B31)*K$4)</f>
        <v>0.9798528628</v>
      </c>
      <c r="L31" s="29">
        <f>(I31+1)/2</f>
        <v>0.7152242937</v>
      </c>
      <c r="M31" s="29">
        <f>(2*B30)/(2*B30+C30+B31)</f>
        <v>0.4391489362</v>
      </c>
    </row>
    <row r="32" ht="15.75" customHeight="1">
      <c r="F32" s="24"/>
      <c r="G32" s="24"/>
      <c r="H32" s="24"/>
      <c r="I32" s="24"/>
      <c r="J32" s="24"/>
      <c r="K32" s="24"/>
      <c r="L32" s="29"/>
      <c r="M32" s="29"/>
    </row>
    <row r="33" ht="15.75" customHeight="1">
      <c r="A33" s="33" t="s">
        <v>68</v>
      </c>
      <c r="B33" s="25">
        <f>L$2</f>
        <v>11</v>
      </c>
      <c r="C33" s="26">
        <f>L$3</f>
        <v>49</v>
      </c>
      <c r="F33" s="32" t="s">
        <v>77</v>
      </c>
      <c r="G33" s="32" t="s">
        <v>78</v>
      </c>
      <c r="H33" s="32" t="s">
        <v>15</v>
      </c>
      <c r="I33" s="32" t="s">
        <v>79</v>
      </c>
      <c r="J33" s="32" t="s">
        <v>80</v>
      </c>
      <c r="K33" s="32" t="s">
        <v>81</v>
      </c>
      <c r="L33" s="32" t="s">
        <v>82</v>
      </c>
      <c r="M33" s="32" t="s">
        <v>83</v>
      </c>
    </row>
    <row r="34" ht="15.75" customHeight="1">
      <c r="B34" s="26">
        <f>$C$2-L$2</f>
        <v>561</v>
      </c>
      <c r="C34" s="25">
        <f>$C$3-L$3</f>
        <v>37151</v>
      </c>
      <c r="D34" s="27">
        <f>SUM(B33:C34)</f>
        <v>37772</v>
      </c>
      <c r="F34" s="34">
        <f>B33/(B33+B34)</f>
        <v>0.01923076923</v>
      </c>
      <c r="G34" s="34">
        <f>C34/(C34+C33)</f>
        <v>0.9986827957</v>
      </c>
      <c r="H34" s="34">
        <f>(C34+B33)/D34</f>
        <v>0.9838504712</v>
      </c>
      <c r="I34" s="34">
        <f>((B33*C34)-(C33*B34))/SQRT((B33+C33)*(B33+B34)*(C34+C33)*(C34+B34))</f>
        <v>0.05493335182</v>
      </c>
      <c r="J34" s="34">
        <f>$C$4*L$2/(L$4*(B33+B34))</f>
        <v>12.10641026</v>
      </c>
      <c r="K34" s="34">
        <f>((L$2*$C$4)-((B33+B34)*L$2))/(L$2*$C$4-2*(B33+B34)*L$2+(B33+B34)*L$4)</f>
        <v>0.9358961457</v>
      </c>
      <c r="L34" s="29">
        <f>(I34+1)/2</f>
        <v>0.5274666759</v>
      </c>
      <c r="M34" s="29">
        <f>(2*B33)/(2*B33+C33+B34)</f>
        <v>0.03481012658</v>
      </c>
    </row>
    <row r="35" ht="15.75" customHeight="1">
      <c r="F35" s="24"/>
      <c r="G35" s="24"/>
      <c r="H35" s="24"/>
      <c r="I35" s="24"/>
      <c r="J35" s="24"/>
      <c r="K35" s="24"/>
      <c r="L35" s="29"/>
      <c r="M35" s="29"/>
    </row>
    <row r="36" ht="15.75" customHeight="1">
      <c r="A36" s="27" t="s">
        <v>84</v>
      </c>
      <c r="B36" s="25">
        <f>M$2</f>
        <v>13</v>
      </c>
      <c r="C36" s="26">
        <f>M$3</f>
        <v>2609</v>
      </c>
      <c r="F36" s="32" t="s">
        <v>77</v>
      </c>
      <c r="G36" s="32" t="s">
        <v>78</v>
      </c>
      <c r="H36" s="32" t="s">
        <v>15</v>
      </c>
      <c r="I36" s="32" t="s">
        <v>79</v>
      </c>
      <c r="J36" s="32" t="s">
        <v>80</v>
      </c>
      <c r="K36" s="32" t="s">
        <v>81</v>
      </c>
      <c r="L36" s="32" t="s">
        <v>82</v>
      </c>
      <c r="M36" s="32" t="s">
        <v>83</v>
      </c>
    </row>
    <row r="37" ht="15.75" customHeight="1">
      <c r="B37" s="26">
        <f>$C$2-M$2</f>
        <v>559</v>
      </c>
      <c r="C37" s="25">
        <f>$C$3-M$3</f>
        <v>34591</v>
      </c>
      <c r="D37" s="27">
        <f>SUM(B36:C37)</f>
        <v>37772</v>
      </c>
      <c r="F37" s="28">
        <f>B36/(B36+B37)</f>
        <v>0.02272727273</v>
      </c>
      <c r="G37" s="28">
        <f>C37/(C37+C36)</f>
        <v>0.9298655914</v>
      </c>
      <c r="H37" s="28">
        <f>(C37+B36)/D37</f>
        <v>0.916128349</v>
      </c>
      <c r="I37" s="28">
        <f>((B36*C37)-(C36*B37))/SQRT((B36+C36)*(B36+B37)*(C37+C36)*(C37+B37))</f>
        <v>-0.02277897584</v>
      </c>
      <c r="J37" s="28">
        <f>$C$4*M$2/(M$4*(B36+B37))</f>
        <v>0.3274044796</v>
      </c>
      <c r="K37" s="28">
        <f>((M$2*$C$4)-((B36+B37)*M$2))/(M$2*$C$4-2*(B36+B37)*M$2+(B36+B37)*M$4)</f>
        <v>0.2447432827</v>
      </c>
      <c r="L37" s="29">
        <f>(I37+1)/2</f>
        <v>0.4886105121</v>
      </c>
      <c r="M37" s="29">
        <f>(2*B36)/(2*B36+C36+B37)</f>
        <v>0.008140262993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71"/>
    <col customWidth="1" min="4" max="4" width="13.14"/>
    <col customWidth="1" min="5" max="6" width="17.0"/>
    <col customWidth="1" min="7" max="10" width="13.29"/>
    <col customWidth="1" min="11" max="11" width="13.14"/>
    <col customWidth="1" min="12" max="12" width="17.0"/>
    <col customWidth="1" min="13" max="13" width="13.14"/>
    <col customWidth="1" min="14" max="26" width="8.86"/>
  </cols>
  <sheetData>
    <row r="1">
      <c r="A1" s="24" t="s">
        <v>85</v>
      </c>
      <c r="B1" s="24"/>
      <c r="C1" s="24" t="s">
        <v>86</v>
      </c>
      <c r="D1" s="24" t="s">
        <v>61</v>
      </c>
      <c r="E1" s="24" t="s">
        <v>62</v>
      </c>
      <c r="F1" s="24" t="s">
        <v>63</v>
      </c>
      <c r="G1" s="24" t="s">
        <v>64</v>
      </c>
      <c r="H1" s="41" t="s">
        <v>65</v>
      </c>
      <c r="I1" s="41" t="s">
        <v>66</v>
      </c>
      <c r="J1" s="41" t="s">
        <v>67</v>
      </c>
      <c r="K1" s="41" t="s">
        <v>68</v>
      </c>
      <c r="L1" s="24" t="s">
        <v>84</v>
      </c>
      <c r="M1" s="24" t="s">
        <v>87</v>
      </c>
      <c r="R1" s="22"/>
      <c r="S1" s="22"/>
      <c r="T1" s="22"/>
      <c r="U1" s="22"/>
      <c r="V1" s="22"/>
      <c r="W1" s="22"/>
    </row>
    <row r="2">
      <c r="A2" s="24" t="s">
        <v>38</v>
      </c>
      <c r="B2" s="24" t="s">
        <v>39</v>
      </c>
      <c r="C2" s="34">
        <v>6.19429945054945</v>
      </c>
      <c r="D2" s="34">
        <v>15.572649572649572</v>
      </c>
      <c r="E2" s="34">
        <v>55.06043956043956</v>
      </c>
      <c r="F2" s="34">
        <v>13.091293322062553</v>
      </c>
      <c r="G2" s="34">
        <v>23.7760989010989</v>
      </c>
      <c r="H2" s="34">
        <v>3.859658413875281</v>
      </c>
      <c r="I2" s="34">
        <v>20.99391870265657</v>
      </c>
      <c r="J2" s="34">
        <v>52.85802197802198</v>
      </c>
      <c r="K2" s="34">
        <v>16.351282051282052</v>
      </c>
      <c r="L2" s="34">
        <v>2.396027631240836</v>
      </c>
      <c r="M2" s="34">
        <f t="shared" ref="M2:M10" si="1">AVERAGE(H2:K2)</f>
        <v>23.51572029</v>
      </c>
      <c r="R2" s="28"/>
      <c r="S2" s="28"/>
      <c r="T2" s="28"/>
      <c r="U2" s="28"/>
      <c r="V2" s="28"/>
      <c r="W2" s="28"/>
    </row>
    <row r="3">
      <c r="A3" s="24"/>
      <c r="B3" s="24" t="s">
        <v>40</v>
      </c>
      <c r="C3" s="34">
        <v>4.594320204717401</v>
      </c>
      <c r="D3" s="34">
        <v>2.0522415570407486</v>
      </c>
      <c r="E3" s="34">
        <v>61.74766355140187</v>
      </c>
      <c r="F3" s="34">
        <v>4.4696700157851215</v>
      </c>
      <c r="G3" s="34">
        <v>11.487937404911976</v>
      </c>
      <c r="H3" s="34">
        <v>2.301155163406281</v>
      </c>
      <c r="I3" s="34">
        <v>7.392325918125576</v>
      </c>
      <c r="J3" s="34">
        <v>3.704859813084112</v>
      </c>
      <c r="K3" s="34">
        <v>2.8504020748365866</v>
      </c>
      <c r="L3" s="34">
        <v>4.37151600363907</v>
      </c>
      <c r="M3" s="34">
        <f t="shared" si="1"/>
        <v>4.062185742</v>
      </c>
      <c r="R3" s="28"/>
      <c r="S3" s="28"/>
      <c r="T3" s="28"/>
      <c r="U3" s="28"/>
      <c r="V3" s="28"/>
      <c r="W3" s="28"/>
    </row>
    <row r="4">
      <c r="A4" s="24" t="s">
        <v>41</v>
      </c>
      <c r="B4" s="24" t="s">
        <v>42</v>
      </c>
      <c r="C4" s="34">
        <v>17.040659340659342</v>
      </c>
      <c r="D4" s="34">
        <v>21.22536231884058</v>
      </c>
      <c r="E4" s="34">
        <v>86.15</v>
      </c>
      <c r="F4" s="34">
        <v>1.5037090909090909</v>
      </c>
      <c r="G4" s="34">
        <v>25.250862068965517</v>
      </c>
      <c r="H4" s="34">
        <v>0.0</v>
      </c>
      <c r="I4" s="34">
        <v>3.206229773462783</v>
      </c>
      <c r="J4" s="34">
        <v>1.6208842897460018</v>
      </c>
      <c r="K4" s="34">
        <v>0.0</v>
      </c>
      <c r="L4" s="34">
        <v>2.096835883171071</v>
      </c>
      <c r="M4" s="34">
        <f t="shared" si="1"/>
        <v>1.206778516</v>
      </c>
      <c r="R4" s="30"/>
      <c r="S4" s="30"/>
      <c r="T4" s="30"/>
      <c r="U4" s="30"/>
      <c r="V4" s="30"/>
      <c r="W4" s="30"/>
    </row>
    <row r="5">
      <c r="A5" s="24"/>
      <c r="B5" s="24" t="s">
        <v>43</v>
      </c>
      <c r="C5" s="34">
        <v>3.086427392739274</v>
      </c>
      <c r="D5" s="34">
        <v>14.532828282828282</v>
      </c>
      <c r="E5" s="34">
        <v>1.6569021256521257</v>
      </c>
      <c r="F5" s="34">
        <v>2.4992648064560252</v>
      </c>
      <c r="G5" s="34">
        <v>5.9138042540960045</v>
      </c>
      <c r="H5" s="34">
        <v>2.729120626151013</v>
      </c>
      <c r="I5" s="34">
        <v>2.899806201550388</v>
      </c>
      <c r="J5" s="34">
        <v>1.3534907407407408</v>
      </c>
      <c r="K5" s="34">
        <v>0.0</v>
      </c>
      <c r="L5" s="34">
        <v>1.0008115471566865</v>
      </c>
      <c r="M5" s="34">
        <f t="shared" si="1"/>
        <v>1.745604392</v>
      </c>
      <c r="R5" s="28"/>
      <c r="S5" s="28"/>
      <c r="T5" s="28"/>
      <c r="U5" s="28"/>
      <c r="V5" s="28"/>
      <c r="W5" s="28"/>
    </row>
    <row r="6">
      <c r="A6" s="24" t="s">
        <v>44</v>
      </c>
      <c r="B6" s="24" t="s">
        <v>45</v>
      </c>
      <c r="C6" s="34">
        <v>7.522108396812889</v>
      </c>
      <c r="D6" s="34">
        <v>0.16961388868780067</v>
      </c>
      <c r="E6" s="34">
        <v>60.9290780141844</v>
      </c>
      <c r="F6" s="34">
        <v>2.9038105742546074</v>
      </c>
      <c r="G6" s="34">
        <v>14.707018831010027</v>
      </c>
      <c r="H6" s="34">
        <v>2.065392475057098</v>
      </c>
      <c r="I6" s="34">
        <v>0.0</v>
      </c>
      <c r="J6" s="34">
        <v>2.5977513882016603</v>
      </c>
      <c r="K6" s="34">
        <v>0.0</v>
      </c>
      <c r="L6" s="34">
        <v>1.7404806031008218</v>
      </c>
      <c r="M6" s="34">
        <f t="shared" si="1"/>
        <v>1.165785966</v>
      </c>
      <c r="P6" s="22"/>
      <c r="Q6" s="22"/>
      <c r="R6" s="22"/>
      <c r="S6" s="22"/>
      <c r="T6" s="22"/>
      <c r="U6" s="22"/>
      <c r="V6" s="28"/>
      <c r="W6" s="28"/>
    </row>
    <row r="7">
      <c r="A7" s="24"/>
      <c r="B7" s="24" t="s">
        <v>46</v>
      </c>
      <c r="C7" s="32">
        <v>25.6991745368034</v>
      </c>
      <c r="D7" s="32">
        <v>3.678407056507018</v>
      </c>
      <c r="E7" s="32">
        <v>66.03496503496504</v>
      </c>
      <c r="F7" s="32">
        <v>1.9960762294811243</v>
      </c>
      <c r="G7" s="32">
        <v>44.023310023310025</v>
      </c>
      <c r="H7" s="32">
        <v>12.484222245416275</v>
      </c>
      <c r="I7" s="32">
        <v>55.285087006017235</v>
      </c>
      <c r="J7" s="32">
        <v>28.25376613436315</v>
      </c>
      <c r="K7" s="34">
        <v>12.106410256410257</v>
      </c>
      <c r="L7" s="34">
        <v>0.32740447957839264</v>
      </c>
      <c r="M7" s="34">
        <f t="shared" si="1"/>
        <v>27.03237141</v>
      </c>
      <c r="P7" s="28"/>
      <c r="Q7" s="28"/>
      <c r="R7" s="28"/>
      <c r="S7" s="28"/>
      <c r="T7" s="28"/>
      <c r="U7" s="28"/>
      <c r="V7" s="30"/>
      <c r="W7" s="30"/>
    </row>
    <row r="8">
      <c r="A8" s="24" t="s">
        <v>47</v>
      </c>
      <c r="B8" s="24" t="s">
        <v>48</v>
      </c>
      <c r="C8" s="32">
        <v>7.303427419354839</v>
      </c>
      <c r="D8" s="32">
        <v>4.975961538461538</v>
      </c>
      <c r="E8" s="32">
        <v>60.375</v>
      </c>
      <c r="F8" s="32">
        <v>5.197847682119205</v>
      </c>
      <c r="G8" s="32">
        <v>24.982758620689655</v>
      </c>
      <c r="H8" s="32">
        <v>25.875</v>
      </c>
      <c r="I8" s="32">
        <v>1.4109778597785978</v>
      </c>
      <c r="J8" s="32">
        <v>0.0</v>
      </c>
      <c r="K8" s="34">
        <v>0.0</v>
      </c>
      <c r="L8" s="34">
        <v>13.51679104477612</v>
      </c>
      <c r="M8" s="34">
        <f t="shared" si="1"/>
        <v>6.821494465</v>
      </c>
      <c r="P8" s="28"/>
      <c r="Q8" s="28"/>
      <c r="R8" s="28"/>
      <c r="S8" s="28"/>
      <c r="T8" s="28"/>
      <c r="U8" s="28"/>
      <c r="V8" s="28"/>
      <c r="W8" s="28"/>
    </row>
    <row r="9">
      <c r="A9" s="24"/>
      <c r="B9" s="24" t="s">
        <v>49</v>
      </c>
      <c r="C9" s="32">
        <v>0.7697434622533177</v>
      </c>
      <c r="D9" s="32">
        <v>1.1709919343427198</v>
      </c>
      <c r="E9" s="32">
        <v>1.8089000350806481</v>
      </c>
      <c r="F9" s="32">
        <v>2.954355187364896</v>
      </c>
      <c r="G9" s="32">
        <v>2.4049404242952632</v>
      </c>
      <c r="H9" s="32">
        <v>1.2285124107158005</v>
      </c>
      <c r="I9" s="32">
        <v>1.2572201206265288</v>
      </c>
      <c r="J9" s="32">
        <v>1.974917964321938</v>
      </c>
      <c r="K9" s="34">
        <v>1.861966861966862</v>
      </c>
      <c r="L9" s="34">
        <v>1.0037357785702157</v>
      </c>
      <c r="M9" s="34">
        <f t="shared" si="1"/>
        <v>1.580654339</v>
      </c>
      <c r="P9" s="30"/>
      <c r="Q9" s="30"/>
      <c r="R9" s="30"/>
      <c r="S9" s="30"/>
      <c r="T9" s="30"/>
      <c r="U9" s="30"/>
      <c r="V9" s="28"/>
      <c r="W9" s="28"/>
    </row>
    <row r="10">
      <c r="A10" s="24"/>
      <c r="B10" s="24" t="s">
        <v>50</v>
      </c>
      <c r="C10" s="32">
        <v>16.533482142857142</v>
      </c>
      <c r="D10" s="32">
        <v>2.994205892921308</v>
      </c>
      <c r="E10" s="32">
        <v>28.056818181818183</v>
      </c>
      <c r="F10" s="32">
        <v>1.8502506589487828</v>
      </c>
      <c r="G10" s="32">
        <v>12.302989790957705</v>
      </c>
      <c r="H10" s="32">
        <v>1.1833064272020988</v>
      </c>
      <c r="I10" s="32">
        <v>0.3651646618024058</v>
      </c>
      <c r="J10" s="32">
        <v>9.352272727272727</v>
      </c>
      <c r="K10" s="34">
        <v>14.028409090909092</v>
      </c>
      <c r="L10" s="34">
        <v>1.1609717868338558</v>
      </c>
      <c r="M10" s="34">
        <f t="shared" si="1"/>
        <v>6.232288227</v>
      </c>
      <c r="P10" s="28"/>
      <c r="Q10" s="28"/>
      <c r="R10" s="28"/>
      <c r="S10" s="28"/>
      <c r="T10" s="28"/>
      <c r="U10" s="28"/>
      <c r="V10" s="30"/>
      <c r="W10" s="30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P11" s="28"/>
      <c r="Q11" s="28"/>
      <c r="R11" s="28"/>
      <c r="S11" s="28"/>
      <c r="T11" s="28"/>
      <c r="U11" s="28"/>
      <c r="V11" s="28"/>
      <c r="W11" s="28"/>
    </row>
    <row r="12">
      <c r="A12" s="24" t="s">
        <v>81</v>
      </c>
      <c r="B12" s="24"/>
      <c r="C12" s="24" t="s">
        <v>86</v>
      </c>
      <c r="D12" s="24" t="s">
        <v>61</v>
      </c>
      <c r="E12" s="24" t="s">
        <v>62</v>
      </c>
      <c r="F12" s="24" t="s">
        <v>63</v>
      </c>
      <c r="G12" s="24" t="s">
        <v>64</v>
      </c>
      <c r="H12" s="41" t="s">
        <v>65</v>
      </c>
      <c r="I12" s="41" t="s">
        <v>66</v>
      </c>
      <c r="J12" s="41" t="s">
        <v>67</v>
      </c>
      <c r="K12" s="41" t="s">
        <v>68</v>
      </c>
      <c r="L12" s="24" t="s">
        <v>84</v>
      </c>
      <c r="M12" s="24" t="s">
        <v>88</v>
      </c>
      <c r="P12" s="30"/>
      <c r="Q12" s="30"/>
      <c r="R12" s="30"/>
      <c r="S12" s="30"/>
      <c r="T12" s="30"/>
      <c r="U12" s="30"/>
      <c r="V12" s="28"/>
      <c r="W12" s="28"/>
    </row>
    <row r="13">
      <c r="A13" s="24" t="s">
        <v>38</v>
      </c>
      <c r="B13" s="24" t="s">
        <v>39</v>
      </c>
      <c r="C13" s="34">
        <v>0.8716558881921648</v>
      </c>
      <c r="D13" s="34">
        <v>0.9538598047914818</v>
      </c>
      <c r="E13" s="34">
        <v>0.9984632531748177</v>
      </c>
      <c r="F13" s="34">
        <v>0.9427295049831831</v>
      </c>
      <c r="G13" s="34">
        <v>0.9748100492535604</v>
      </c>
      <c r="H13" s="34">
        <v>0.802216355885563</v>
      </c>
      <c r="I13" s="34">
        <v>0.9694534486991288</v>
      </c>
      <c r="J13" s="34">
        <v>0.9976966495954371</v>
      </c>
      <c r="K13" s="34">
        <v>0.9566975183075671</v>
      </c>
      <c r="L13" s="34">
        <v>0.7104830144990952</v>
      </c>
      <c r="M13" s="34">
        <f t="shared" ref="M13:M18" si="2">AVERAGE(H13:K13)</f>
        <v>0.9315159931</v>
      </c>
      <c r="P13" s="28"/>
      <c r="Q13" s="28"/>
      <c r="R13" s="28"/>
      <c r="S13" s="28"/>
      <c r="T13" s="28"/>
      <c r="U13" s="28"/>
      <c r="V13" s="30"/>
      <c r="W13" s="30"/>
    </row>
    <row r="14">
      <c r="A14" s="24"/>
      <c r="B14" s="24" t="s">
        <v>40</v>
      </c>
      <c r="C14" s="34">
        <v>0.8300259989682138</v>
      </c>
      <c r="D14" s="34">
        <v>0.6762094317211388</v>
      </c>
      <c r="E14" s="34">
        <v>1.0</v>
      </c>
      <c r="F14" s="34">
        <v>0.8257968586781603</v>
      </c>
      <c r="G14" s="34">
        <v>0.9328190869136246</v>
      </c>
      <c r="H14" s="34">
        <v>0.7016281370873437</v>
      </c>
      <c r="I14" s="34">
        <v>0.8920282542885973</v>
      </c>
      <c r="J14" s="34">
        <v>0.7949773737209018</v>
      </c>
      <c r="K14" s="34">
        <v>0.7461899594067323</v>
      </c>
      <c r="L14" s="34">
        <v>0.8223294061832845</v>
      </c>
      <c r="M14" s="34">
        <f t="shared" si="2"/>
        <v>0.7837059311</v>
      </c>
      <c r="P14" s="28"/>
      <c r="Q14" s="28"/>
      <c r="R14" s="28"/>
      <c r="S14" s="28"/>
      <c r="T14" s="28"/>
      <c r="U14" s="28"/>
      <c r="V14" s="28"/>
      <c r="W14" s="28"/>
    </row>
    <row r="15">
      <c r="A15" s="24" t="s">
        <v>41</v>
      </c>
      <c r="B15" s="24" t="s">
        <v>42</v>
      </c>
      <c r="C15" s="34">
        <v>0.9545369620726163</v>
      </c>
      <c r="D15" s="34">
        <v>0.965322930212397</v>
      </c>
      <c r="E15" s="34">
        <v>1.0</v>
      </c>
      <c r="F15" s="34">
        <v>0.6020149649443234</v>
      </c>
      <c r="G15" s="34">
        <v>0.9724564173188673</v>
      </c>
      <c r="H15" s="34">
        <v>0.0</v>
      </c>
      <c r="I15" s="34">
        <v>0.766981926413284</v>
      </c>
      <c r="J15" s="34">
        <v>0.6201747997086672</v>
      </c>
      <c r="K15" s="34">
        <v>0.0</v>
      </c>
      <c r="L15" s="34">
        <v>0.6799178691610107</v>
      </c>
      <c r="M15" s="34">
        <f t="shared" si="2"/>
        <v>0.3467891815</v>
      </c>
      <c r="P15" s="30"/>
      <c r="Q15" s="30"/>
      <c r="R15" s="30"/>
      <c r="S15" s="30"/>
      <c r="T15" s="30"/>
      <c r="U15" s="30"/>
      <c r="V15" s="28"/>
      <c r="W15" s="28"/>
    </row>
    <row r="16">
      <c r="A16" s="24"/>
      <c r="B16" s="24" t="s">
        <v>43</v>
      </c>
      <c r="C16" s="34">
        <v>0.7607630832688838</v>
      </c>
      <c r="D16" s="34">
        <v>0.9472542146553163</v>
      </c>
      <c r="E16" s="34">
        <v>0.625802971542755</v>
      </c>
      <c r="F16" s="34">
        <v>0.7185657100413259</v>
      </c>
      <c r="G16" s="34">
        <v>0.8640184403430415</v>
      </c>
      <c r="H16" s="34">
        <v>0.7366553873104091</v>
      </c>
      <c r="I16" s="34">
        <v>0.7487187293854976</v>
      </c>
      <c r="J16" s="34">
        <v>0.5763195035843799</v>
      </c>
      <c r="K16" s="34">
        <v>0.0</v>
      </c>
      <c r="L16" s="34">
        <v>0.5002056645904337</v>
      </c>
      <c r="M16" s="34">
        <f t="shared" si="2"/>
        <v>0.5154234051</v>
      </c>
      <c r="P16" s="28"/>
      <c r="Q16" s="28"/>
      <c r="R16" s="28"/>
      <c r="S16" s="28"/>
      <c r="T16" s="28"/>
      <c r="U16" s="28"/>
      <c r="V16" s="30"/>
      <c r="W16" s="30"/>
    </row>
    <row r="17">
      <c r="A17" s="24" t="s">
        <v>44</v>
      </c>
      <c r="B17" s="24" t="s">
        <v>45</v>
      </c>
      <c r="C17" s="34">
        <v>0.8940758218620055</v>
      </c>
      <c r="D17" s="34">
        <v>0.14331912391591944</v>
      </c>
      <c r="E17" s="34">
        <v>1.0</v>
      </c>
      <c r="F17" s="34">
        <v>0.7499427792024589</v>
      </c>
      <c r="G17" s="34">
        <v>0.9501702756537943</v>
      </c>
      <c r="H17" s="34">
        <v>0.6777078237157638</v>
      </c>
      <c r="I17" s="34">
        <v>0.0</v>
      </c>
      <c r="J17" s="34">
        <v>0.7274392104995422</v>
      </c>
      <c r="K17" s="34">
        <v>0.0</v>
      </c>
      <c r="L17" s="34">
        <v>0.6379769341483813</v>
      </c>
      <c r="M17" s="34">
        <f t="shared" si="2"/>
        <v>0.3512867586</v>
      </c>
      <c r="P17" s="28"/>
      <c r="Q17" s="28"/>
      <c r="R17" s="28"/>
      <c r="S17" s="28"/>
      <c r="T17" s="28"/>
      <c r="U17" s="28"/>
      <c r="V17" s="28"/>
      <c r="W17" s="28"/>
    </row>
    <row r="18">
      <c r="A18" s="24"/>
      <c r="B18" s="24" t="s">
        <v>46</v>
      </c>
      <c r="C18" s="32">
        <v>0.9764349797766778</v>
      </c>
      <c r="D18" s="32">
        <v>0.7932348946238443</v>
      </c>
      <c r="E18" s="32">
        <v>1.0</v>
      </c>
      <c r="F18" s="32">
        <v>0.6696534048590375</v>
      </c>
      <c r="G18" s="32">
        <v>0.9923704849810596</v>
      </c>
      <c r="H18" s="32">
        <v>0.938124653246936</v>
      </c>
      <c r="I18" s="32">
        <v>0.9970190678407748</v>
      </c>
      <c r="J18" s="32">
        <v>0.9798528628046727</v>
      </c>
      <c r="K18" s="34">
        <v>0.9358961457180236</v>
      </c>
      <c r="L18" s="34">
        <v>0.24474328271796625</v>
      </c>
      <c r="M18" s="34">
        <f t="shared" si="2"/>
        <v>0.9627231824</v>
      </c>
      <c r="P18" s="30"/>
      <c r="Q18" s="30"/>
      <c r="R18" s="30"/>
      <c r="S18" s="30"/>
      <c r="T18" s="30"/>
      <c r="U18" s="30"/>
      <c r="V18" s="28"/>
      <c r="W18" s="28"/>
    </row>
    <row r="19">
      <c r="A19" s="24" t="s">
        <v>47</v>
      </c>
      <c r="B19" s="24" t="s">
        <v>48</v>
      </c>
      <c r="C19" s="32">
        <v>0.8909591096661248</v>
      </c>
      <c r="D19" s="32">
        <v>0.8420990426663515</v>
      </c>
      <c r="E19" s="32">
        <v>1.0</v>
      </c>
      <c r="F19" s="32">
        <v>0.8483308146723451</v>
      </c>
      <c r="G19" s="32">
        <v>0.9766963673749143</v>
      </c>
      <c r="H19" s="32">
        <v>0.9780370624571036</v>
      </c>
      <c r="I19" s="32">
        <v>0.5869155231839761</v>
      </c>
      <c r="J19" s="32">
        <v>0.0</v>
      </c>
      <c r="K19" s="34">
        <v>0.0</v>
      </c>
      <c r="L19" s="34">
        <v>0.9448349025328205</v>
      </c>
      <c r="M19" s="34">
        <f>AVERAGE(H18:K18)</f>
        <v>0.9627231824</v>
      </c>
      <c r="P19" s="28"/>
      <c r="Q19" s="28"/>
      <c r="R19" s="28"/>
      <c r="S19" s="28"/>
      <c r="T19" s="28"/>
      <c r="U19" s="28"/>
      <c r="V19" s="30"/>
      <c r="W19" s="30"/>
    </row>
    <row r="20">
      <c r="A20" s="24"/>
      <c r="B20" s="24" t="s">
        <v>49</v>
      </c>
      <c r="C20" s="32">
        <v>0.4338660319619177</v>
      </c>
      <c r="D20" s="32">
        <v>0.5401953218552915</v>
      </c>
      <c r="E20" s="32">
        <v>0.6475576348079929</v>
      </c>
      <c r="F20" s="32">
        <v>0.7542483362647151</v>
      </c>
      <c r="G20" s="32">
        <v>0.7119309812723574</v>
      </c>
      <c r="H20" s="32">
        <v>0.5523541130168602</v>
      </c>
      <c r="I20" s="32">
        <v>0.558194529418639</v>
      </c>
      <c r="J20" s="32">
        <v>0.6680460885983784</v>
      </c>
      <c r="K20" s="34">
        <v>0.6543616589196264</v>
      </c>
      <c r="L20" s="34">
        <v>0.5009500777336328</v>
      </c>
      <c r="M20" s="34">
        <f t="shared" ref="M20:M21" si="3">AVERAGE(H20:K20)</f>
        <v>0.6082390975</v>
      </c>
      <c r="P20" s="28"/>
      <c r="Q20" s="28"/>
      <c r="R20" s="28"/>
      <c r="S20" s="28"/>
      <c r="T20" s="28"/>
      <c r="U20" s="28"/>
      <c r="V20" s="28"/>
      <c r="W20" s="28"/>
    </row>
    <row r="21" ht="15.75" customHeight="1">
      <c r="A21" s="24"/>
      <c r="B21" s="24" t="s">
        <v>50</v>
      </c>
      <c r="C21" s="32">
        <v>0.958371756026874</v>
      </c>
      <c r="D21" s="32">
        <v>0.7564903929475107</v>
      </c>
      <c r="E21" s="32">
        <v>0.9821790198460916</v>
      </c>
      <c r="F21" s="32">
        <v>0.6526863856998338</v>
      </c>
      <c r="G21" s="32">
        <v>0.939309771466901</v>
      </c>
      <c r="H21" s="32">
        <v>0.5428059799959944</v>
      </c>
      <c r="I21" s="32">
        <v>0.26524957159003903</v>
      </c>
      <c r="J21" s="32">
        <v>0.9168241965973535</v>
      </c>
      <c r="K21" s="34">
        <v>0.9483770043019163</v>
      </c>
      <c r="L21" s="34">
        <v>0.5379723434149227</v>
      </c>
      <c r="M21" s="34">
        <f t="shared" si="3"/>
        <v>0.6683141881</v>
      </c>
      <c r="P21" s="30"/>
      <c r="Q21" s="30"/>
      <c r="R21" s="30"/>
      <c r="S21" s="30"/>
      <c r="T21" s="30"/>
      <c r="U21" s="30"/>
      <c r="V21" s="28"/>
      <c r="W21" s="28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P22" s="28"/>
      <c r="Q22" s="28"/>
      <c r="R22" s="28"/>
      <c r="S22" s="28"/>
      <c r="T22" s="28"/>
      <c r="U22" s="28"/>
      <c r="V22" s="30"/>
      <c r="W22" s="30"/>
    </row>
    <row r="23" ht="15.75" customHeight="1">
      <c r="A23" s="24" t="s">
        <v>77</v>
      </c>
      <c r="B23" s="24"/>
      <c r="C23" s="24" t="s">
        <v>86</v>
      </c>
      <c r="D23" s="24" t="s">
        <v>61</v>
      </c>
      <c r="E23" s="24" t="s">
        <v>62</v>
      </c>
      <c r="F23" s="24" t="s">
        <v>63</v>
      </c>
      <c r="G23" s="24" t="s">
        <v>64</v>
      </c>
      <c r="H23" s="41" t="s">
        <v>65</v>
      </c>
      <c r="I23" s="41" t="s">
        <v>66</v>
      </c>
      <c r="J23" s="41" t="s">
        <v>67</v>
      </c>
      <c r="K23" s="41" t="s">
        <v>68</v>
      </c>
      <c r="L23" s="24" t="s">
        <v>84</v>
      </c>
      <c r="M23" s="24" t="s">
        <v>88</v>
      </c>
      <c r="P23" s="28"/>
      <c r="Q23" s="28"/>
      <c r="R23" s="28"/>
      <c r="S23" s="28"/>
      <c r="T23" s="28"/>
      <c r="U23" s="28"/>
      <c r="V23" s="28"/>
      <c r="W23" s="28"/>
    </row>
    <row r="24" ht="15.75" customHeight="1">
      <c r="A24" s="24" t="s">
        <v>38</v>
      </c>
      <c r="B24" s="24" t="s">
        <v>39</v>
      </c>
      <c r="C24" s="34">
        <v>0.3626373626373626</v>
      </c>
      <c r="D24" s="32">
        <v>0.038461538461538464</v>
      </c>
      <c r="E24" s="34">
        <v>0.06043956043956044</v>
      </c>
      <c r="F24" s="34">
        <v>0.09340659340659341</v>
      </c>
      <c r="G24" s="32">
        <v>0.1043956043956044</v>
      </c>
      <c r="H24" s="34">
        <v>0.3516483516483517</v>
      </c>
      <c r="I24" s="34">
        <v>0.1978021978021978</v>
      </c>
      <c r="J24" s="32">
        <v>0.12087912087912088</v>
      </c>
      <c r="K24" s="34">
        <v>0.2692307692307692</v>
      </c>
      <c r="L24" s="34">
        <v>0.6373626373626373</v>
      </c>
      <c r="M24" s="34">
        <f t="shared" ref="M24:M32" si="4">AVERAGE(H24:K24)</f>
        <v>0.2348901099</v>
      </c>
      <c r="P24" s="30"/>
      <c r="Q24" s="30"/>
      <c r="R24" s="30"/>
      <c r="S24" s="30"/>
      <c r="T24" s="30"/>
      <c r="U24" s="30"/>
      <c r="W24" s="24"/>
    </row>
    <row r="25" ht="15.75" customHeight="1">
      <c r="A25" s="24"/>
      <c r="B25" s="24" t="s">
        <v>40</v>
      </c>
      <c r="C25" s="34">
        <v>0.7009345794392523</v>
      </c>
      <c r="D25" s="34">
        <v>0.8504672897196262</v>
      </c>
      <c r="E25" s="34">
        <v>0.028037383177570093</v>
      </c>
      <c r="F25" s="34">
        <v>0.2523364485981308</v>
      </c>
      <c r="G25" s="34">
        <v>0.37383177570093457</v>
      </c>
      <c r="H25" s="34">
        <v>0.11214953271028037</v>
      </c>
      <c r="I25" s="34">
        <v>0.4766355140186916</v>
      </c>
      <c r="J25" s="34">
        <v>0.11214953271028037</v>
      </c>
      <c r="K25" s="34">
        <v>0.8037383177570093</v>
      </c>
      <c r="L25" s="34">
        <v>0.07476635514018691</v>
      </c>
      <c r="M25" s="34">
        <f t="shared" si="4"/>
        <v>0.3761682243</v>
      </c>
      <c r="P25" s="28"/>
      <c r="Q25" s="28"/>
      <c r="R25" s="28"/>
      <c r="S25" s="28"/>
      <c r="T25" s="28"/>
      <c r="U25" s="28"/>
      <c r="V25" s="30"/>
      <c r="W25" s="30"/>
    </row>
    <row r="26" ht="15.75" customHeight="1">
      <c r="A26" s="24" t="s">
        <v>41</v>
      </c>
      <c r="B26" s="24" t="s">
        <v>42</v>
      </c>
      <c r="C26" s="34">
        <v>0.45</v>
      </c>
      <c r="D26" s="34">
        <v>0.425</v>
      </c>
      <c r="E26" s="34">
        <v>0.375</v>
      </c>
      <c r="F26" s="34">
        <v>0.6</v>
      </c>
      <c r="G26" s="34">
        <v>0.425</v>
      </c>
      <c r="H26" s="34">
        <v>0.0</v>
      </c>
      <c r="I26" s="34">
        <v>0.575</v>
      </c>
      <c r="J26" s="34">
        <v>1.0</v>
      </c>
      <c r="K26" s="34">
        <v>0.0</v>
      </c>
      <c r="L26" s="34">
        <v>0.875</v>
      </c>
      <c r="M26" s="34">
        <f t="shared" si="4"/>
        <v>0.39375</v>
      </c>
      <c r="P26" s="28"/>
      <c r="Q26" s="28"/>
      <c r="R26" s="28"/>
      <c r="S26" s="28"/>
      <c r="T26" s="28"/>
      <c r="U26" s="28"/>
      <c r="V26" s="28"/>
      <c r="W26" s="28"/>
    </row>
    <row r="27" ht="15.75" customHeight="1">
      <c r="A27" s="24"/>
      <c r="B27" s="24" t="s">
        <v>43</v>
      </c>
      <c r="C27" s="34">
        <v>0.21666666666666667</v>
      </c>
      <c r="D27" s="34">
        <v>0.041666666666666664</v>
      </c>
      <c r="E27" s="34">
        <v>0.8645833333333334</v>
      </c>
      <c r="F27" s="34">
        <v>0.5291666666666667</v>
      </c>
      <c r="G27" s="34">
        <v>0.5958333333333333</v>
      </c>
      <c r="H27" s="34">
        <v>0.21458333333333332</v>
      </c>
      <c r="I27" s="34">
        <v>0.10833333333333334</v>
      </c>
      <c r="J27" s="34">
        <v>0.79375</v>
      </c>
      <c r="K27" s="34">
        <v>0.0</v>
      </c>
      <c r="L27" s="34">
        <v>1.0</v>
      </c>
      <c r="M27" s="34">
        <f t="shared" si="4"/>
        <v>0.2791666667</v>
      </c>
      <c r="P27" s="30"/>
      <c r="Q27" s="30"/>
      <c r="R27" s="30"/>
      <c r="S27" s="30"/>
      <c r="T27" s="30"/>
      <c r="U27" s="30"/>
      <c r="W27" s="24"/>
    </row>
    <row r="28" ht="15.75" customHeight="1">
      <c r="A28" s="24" t="s">
        <v>44</v>
      </c>
      <c r="B28" s="24" t="s">
        <v>45</v>
      </c>
      <c r="C28" s="34">
        <v>0.07092198581560284</v>
      </c>
      <c r="D28" s="34">
        <v>0.031914893617021274</v>
      </c>
      <c r="E28" s="34">
        <v>0.0070921985815602835</v>
      </c>
      <c r="F28" s="34">
        <v>0.8085106382978723</v>
      </c>
      <c r="G28" s="34">
        <v>0.024822695035460994</v>
      </c>
      <c r="H28" s="34">
        <v>0.014184397163120567</v>
      </c>
      <c r="I28" s="34">
        <v>0.0</v>
      </c>
      <c r="J28" s="34">
        <v>0.03900709219858156</v>
      </c>
      <c r="K28" s="34">
        <v>0.0</v>
      </c>
      <c r="L28" s="34">
        <v>0.5035460992907801</v>
      </c>
      <c r="M28" s="34">
        <f t="shared" si="4"/>
        <v>0.01329787234</v>
      </c>
      <c r="P28" s="28"/>
      <c r="Q28" s="28"/>
      <c r="R28" s="28"/>
      <c r="S28" s="28"/>
      <c r="T28" s="28"/>
      <c r="U28" s="28"/>
      <c r="V28" s="30"/>
      <c r="W28" s="30"/>
    </row>
    <row r="29" ht="15.75" customHeight="1">
      <c r="A29" s="24"/>
      <c r="B29" s="24" t="s">
        <v>46</v>
      </c>
      <c r="C29" s="34">
        <v>0.263986013986014</v>
      </c>
      <c r="D29" s="34">
        <v>0.5104895104895105</v>
      </c>
      <c r="E29" s="34">
        <v>0.0034965034965034965</v>
      </c>
      <c r="F29" s="34">
        <v>0.6153846153846154</v>
      </c>
      <c r="G29" s="34">
        <v>0.17482517482517482</v>
      </c>
      <c r="H29" s="34">
        <v>0.46503496503496505</v>
      </c>
      <c r="I29" s="34">
        <v>0.06293706293706294</v>
      </c>
      <c r="J29" s="34">
        <v>0.45104895104895104</v>
      </c>
      <c r="K29" s="34">
        <v>0.019230769230769232</v>
      </c>
      <c r="L29" s="34">
        <v>0.022727272727272728</v>
      </c>
      <c r="M29" s="34">
        <f t="shared" si="4"/>
        <v>0.2495629371</v>
      </c>
      <c r="U29" s="24"/>
      <c r="V29" s="28"/>
      <c r="W29" s="28"/>
    </row>
    <row r="30" ht="15.75" customHeight="1">
      <c r="A30" s="24" t="s">
        <v>47</v>
      </c>
      <c r="B30" s="24" t="s">
        <v>48</v>
      </c>
      <c r="C30" s="34">
        <v>0.3125</v>
      </c>
      <c r="D30" s="34">
        <v>0.3125</v>
      </c>
      <c r="E30" s="34">
        <v>0.20833333333333334</v>
      </c>
      <c r="F30" s="34">
        <v>0.5416666666666666</v>
      </c>
      <c r="G30" s="34">
        <v>0.25</v>
      </c>
      <c r="H30" s="34">
        <v>0.0625</v>
      </c>
      <c r="I30" s="34">
        <v>0.3958333333333333</v>
      </c>
      <c r="J30" s="34">
        <v>0.0</v>
      </c>
      <c r="K30" s="34">
        <v>0.0</v>
      </c>
      <c r="L30" s="34">
        <v>0.3125</v>
      </c>
      <c r="M30" s="34">
        <f t="shared" si="4"/>
        <v>0.1145833333</v>
      </c>
      <c r="P30" s="30"/>
      <c r="Q30" s="30"/>
      <c r="R30" s="30"/>
      <c r="S30" s="30"/>
      <c r="T30" s="30"/>
      <c r="U30" s="30"/>
    </row>
    <row r="31" ht="15.75" customHeight="1">
      <c r="A31" s="24"/>
      <c r="B31" s="24" t="s">
        <v>49</v>
      </c>
      <c r="C31" s="34">
        <v>0.0990990990990991</v>
      </c>
      <c r="D31" s="34">
        <v>0.1891891891891892</v>
      </c>
      <c r="E31" s="34">
        <v>0.7387387387387387</v>
      </c>
      <c r="F31" s="34">
        <v>0.7207207207207207</v>
      </c>
      <c r="G31" s="34">
        <v>0.06306306306306306</v>
      </c>
      <c r="H31" s="34">
        <v>0.8828828828828829</v>
      </c>
      <c r="I31" s="34">
        <v>0.8828828828828829</v>
      </c>
      <c r="J31" s="34">
        <v>0.25225225225225223</v>
      </c>
      <c r="K31" s="34">
        <v>0.04504504504504504</v>
      </c>
      <c r="L31" s="34">
        <v>1.0</v>
      </c>
      <c r="M31" s="34">
        <f t="shared" si="4"/>
        <v>0.5157657658</v>
      </c>
      <c r="P31" s="28"/>
      <c r="Q31" s="28"/>
      <c r="R31" s="28"/>
      <c r="S31" s="28"/>
      <c r="T31" s="28"/>
      <c r="U31" s="28"/>
    </row>
    <row r="32" ht="15.75" customHeight="1">
      <c r="A32" s="24"/>
      <c r="B32" s="24" t="s">
        <v>50</v>
      </c>
      <c r="C32" s="34">
        <v>0.375</v>
      </c>
      <c r="D32" s="34">
        <v>0.6136363636363636</v>
      </c>
      <c r="E32" s="34">
        <v>0.011363636363636364</v>
      </c>
      <c r="F32" s="34">
        <v>0.6590909090909091</v>
      </c>
      <c r="G32" s="34">
        <v>0.4659090909090909</v>
      </c>
      <c r="H32" s="34">
        <v>0.4318181818181818</v>
      </c>
      <c r="I32" s="34">
        <v>0.06818181818181818</v>
      </c>
      <c r="J32" s="34">
        <v>0.011363636363636364</v>
      </c>
      <c r="K32" s="34">
        <v>0.011363636363636364</v>
      </c>
      <c r="L32" s="34">
        <v>0.06818181818181818</v>
      </c>
      <c r="M32" s="34">
        <f t="shared" si="4"/>
        <v>0.1306818182</v>
      </c>
      <c r="U32" s="24"/>
    </row>
    <row r="33" ht="15.75" customHeight="1">
      <c r="A33" s="24"/>
      <c r="B33" s="24"/>
      <c r="C33" s="24"/>
      <c r="D33" s="24"/>
      <c r="E33" s="24"/>
      <c r="F33" s="24"/>
      <c r="G33" s="24"/>
      <c r="H33" s="34">
        <f t="shared" ref="H33:K33" si="5">AVERAGE(H24:H32)</f>
        <v>0.2816446272</v>
      </c>
      <c r="I33" s="34">
        <f t="shared" si="5"/>
        <v>0.3075117936</v>
      </c>
      <c r="J33" s="34">
        <f t="shared" si="5"/>
        <v>0.3089389539</v>
      </c>
      <c r="K33" s="34">
        <f t="shared" si="5"/>
        <v>0.1276231708</v>
      </c>
      <c r="L33" s="24"/>
      <c r="M33" s="24"/>
    </row>
    <row r="34" ht="15.75" customHeight="1">
      <c r="A34" s="24" t="s">
        <v>78</v>
      </c>
      <c r="B34" s="24"/>
      <c r="C34" s="24" t="s">
        <v>86</v>
      </c>
      <c r="D34" s="24" t="s">
        <v>61</v>
      </c>
      <c r="E34" s="24" t="s">
        <v>62</v>
      </c>
      <c r="F34" s="24" t="s">
        <v>63</v>
      </c>
      <c r="G34" s="24" t="s">
        <v>64</v>
      </c>
      <c r="H34" s="41" t="s">
        <v>65</v>
      </c>
      <c r="I34" s="41" t="s">
        <v>66</v>
      </c>
      <c r="J34" s="41" t="s">
        <v>67</v>
      </c>
      <c r="K34" s="41" t="s">
        <v>68</v>
      </c>
      <c r="L34" s="24" t="s">
        <v>84</v>
      </c>
      <c r="M34" s="24" t="s">
        <v>88</v>
      </c>
      <c r="O34" s="29"/>
      <c r="P34" s="29"/>
      <c r="Q34" s="29"/>
      <c r="R34" s="29"/>
      <c r="S34" s="29"/>
      <c r="T34" s="29"/>
      <c r="U34" s="29"/>
    </row>
    <row r="35" ht="15.75" customHeight="1">
      <c r="A35" s="24" t="s">
        <v>38</v>
      </c>
      <c r="B35" s="24" t="s">
        <v>39</v>
      </c>
      <c r="C35" s="32">
        <v>0.9466046511627907</v>
      </c>
      <c r="D35" s="34">
        <v>0.998139534883721</v>
      </c>
      <c r="E35" s="34">
        <v>0.999906976744186</v>
      </c>
      <c r="F35" s="32">
        <v>0.9943255813953489</v>
      </c>
      <c r="G35" s="34">
        <v>0.9973023255813953</v>
      </c>
      <c r="H35" s="34">
        <v>0.9133023255813953</v>
      </c>
      <c r="I35" s="32">
        <v>0.9937674418604651</v>
      </c>
      <c r="J35" s="34">
        <v>0.9997209302325581</v>
      </c>
      <c r="K35" s="34">
        <v>0.9878139534883721</v>
      </c>
      <c r="L35" s="32">
        <v>0.7402790697674418</v>
      </c>
      <c r="M35" s="34">
        <f t="shared" ref="M35:M43" si="6">AVERAGE(H35:K35)</f>
        <v>0.9736511628</v>
      </c>
      <c r="O35" s="29"/>
      <c r="P35" s="29"/>
      <c r="Q35" s="29"/>
      <c r="R35" s="29"/>
      <c r="S35" s="29"/>
      <c r="T35" s="29"/>
      <c r="U35" s="28"/>
    </row>
    <row r="36" ht="15.75" customHeight="1">
      <c r="A36" s="24"/>
      <c r="B36" s="24" t="s">
        <v>40</v>
      </c>
      <c r="C36" s="34">
        <v>0.8564615384615385</v>
      </c>
      <c r="D36" s="34">
        <v>0.5927692307692307</v>
      </c>
      <c r="E36" s="34">
        <v>1.0</v>
      </c>
      <c r="F36" s="34">
        <v>0.9467692307692308</v>
      </c>
      <c r="G36" s="34">
        <v>0.9730769230769231</v>
      </c>
      <c r="H36" s="34">
        <v>0.9523076923076923</v>
      </c>
      <c r="I36" s="34">
        <v>0.9423076923076923</v>
      </c>
      <c r="J36" s="34">
        <v>0.9710769230769231</v>
      </c>
      <c r="K36" s="34">
        <v>0.7266153846153847</v>
      </c>
      <c r="L36" s="34">
        <v>0.9838461538461538</v>
      </c>
      <c r="M36" s="34">
        <f t="shared" si="6"/>
        <v>0.8980769231</v>
      </c>
      <c r="U36" s="28"/>
    </row>
    <row r="37" ht="15.75" customHeight="1">
      <c r="A37" s="24" t="s">
        <v>41</v>
      </c>
      <c r="B37" s="24" t="s">
        <v>42</v>
      </c>
      <c r="C37" s="34">
        <v>0.9785672342924251</v>
      </c>
      <c r="D37" s="34">
        <v>0.9847328244274809</v>
      </c>
      <c r="E37" s="34">
        <v>1.0</v>
      </c>
      <c r="F37" s="34">
        <v>0.6033470346447446</v>
      </c>
      <c r="G37" s="34">
        <v>0.9879624192601292</v>
      </c>
      <c r="H37" s="34">
        <v>1.0</v>
      </c>
      <c r="I37" s="34">
        <v>0.8253082795067528</v>
      </c>
      <c r="J37" s="34">
        <v>0.38755137991779215</v>
      </c>
      <c r="K37" s="34">
        <v>1.0</v>
      </c>
      <c r="L37" s="34">
        <v>0.5880798590722255</v>
      </c>
      <c r="M37" s="34">
        <f t="shared" si="6"/>
        <v>0.8032149149</v>
      </c>
      <c r="U37" s="28"/>
    </row>
    <row r="38" ht="15.75" customHeight="1">
      <c r="A38" s="24"/>
      <c r="B38" s="24" t="s">
        <v>43</v>
      </c>
      <c r="C38" s="34">
        <v>0.9318649045521292</v>
      </c>
      <c r="D38" s="34">
        <v>0.9976798825256975</v>
      </c>
      <c r="E38" s="34">
        <v>0.48302496328928046</v>
      </c>
      <c r="F38" s="34">
        <v>0.7927459618208517</v>
      </c>
      <c r="G38" s="34">
        <v>0.9062261380323055</v>
      </c>
      <c r="H38" s="34">
        <v>0.9232892804698972</v>
      </c>
      <c r="I38" s="34">
        <v>0.9636417033773862</v>
      </c>
      <c r="J38" s="34">
        <v>0.4164757709251101</v>
      </c>
      <c r="K38" s="34">
        <v>0.9989427312775331</v>
      </c>
      <c r="L38" s="34">
        <v>8.223201174743025E-4</v>
      </c>
      <c r="M38" s="34">
        <f t="shared" si="6"/>
        <v>0.8255873715</v>
      </c>
      <c r="U38" s="28"/>
    </row>
    <row r="39" ht="15.75" customHeight="1">
      <c r="A39" s="24" t="s">
        <v>44</v>
      </c>
      <c r="B39" s="24" t="s">
        <v>45</v>
      </c>
      <c r="C39" s="34">
        <v>0.9915976331360947</v>
      </c>
      <c r="D39" s="34">
        <v>0.8092307692307692</v>
      </c>
      <c r="E39" s="34">
        <v>1.0</v>
      </c>
      <c r="F39" s="34">
        <v>0.7304142011834319</v>
      </c>
      <c r="G39" s="34">
        <v>0.998698224852071</v>
      </c>
      <c r="H39" s="34">
        <v>0.9932544378698225</v>
      </c>
      <c r="I39" s="34">
        <v>0.9999408284023669</v>
      </c>
      <c r="J39" s="34">
        <v>0.9853846153846154</v>
      </c>
      <c r="K39" s="34">
        <v>1.0</v>
      </c>
      <c r="L39" s="34">
        <v>0.7142603550295858</v>
      </c>
      <c r="M39" s="34">
        <f t="shared" si="6"/>
        <v>0.9946449704</v>
      </c>
      <c r="U39" s="30"/>
      <c r="V39" s="28"/>
      <c r="W39" s="28"/>
      <c r="X39" s="28"/>
      <c r="Y39" s="28"/>
    </row>
    <row r="40" ht="15.75" customHeight="1">
      <c r="A40" s="24"/>
      <c r="B40" s="24" t="s">
        <v>46</v>
      </c>
      <c r="C40" s="34">
        <v>0.9936290322580645</v>
      </c>
      <c r="D40" s="34">
        <v>0.8669354838709677</v>
      </c>
      <c r="E40" s="34">
        <v>1.0</v>
      </c>
      <c r="F40" s="34">
        <v>0.6964247311827957</v>
      </c>
      <c r="G40" s="34">
        <v>0.9986559139784946</v>
      </c>
      <c r="H40" s="34">
        <v>0.9693279569892473</v>
      </c>
      <c r="I40" s="34">
        <v>0.9998118279569892</v>
      </c>
      <c r="J40" s="34">
        <v>0.9907258064516129</v>
      </c>
      <c r="K40" s="34">
        <v>0.9986827956989247</v>
      </c>
      <c r="L40" s="34">
        <v>0.9298655913978494</v>
      </c>
      <c r="M40" s="34">
        <f t="shared" si="6"/>
        <v>0.9896370968</v>
      </c>
      <c r="U40" s="30"/>
      <c r="V40" s="28"/>
      <c r="W40" s="28"/>
      <c r="X40" s="28"/>
      <c r="Y40" s="28"/>
    </row>
    <row r="41" ht="15.75" customHeight="1">
      <c r="A41" s="24" t="s">
        <v>47</v>
      </c>
      <c r="B41" s="24" t="s">
        <v>48</v>
      </c>
      <c r="C41" s="34">
        <v>0.9617543859649123</v>
      </c>
      <c r="D41" s="34">
        <v>0.9414035087719298</v>
      </c>
      <c r="E41" s="34">
        <v>1.0</v>
      </c>
      <c r="F41" s="34">
        <v>0.9031578947368422</v>
      </c>
      <c r="G41" s="34">
        <v>0.9940350877192983</v>
      </c>
      <c r="H41" s="34">
        <v>0.9985964912280701</v>
      </c>
      <c r="I41" s="34">
        <v>0.7214035087719298</v>
      </c>
      <c r="J41" s="34">
        <v>1.0</v>
      </c>
      <c r="K41" s="34">
        <v>1.0</v>
      </c>
      <c r="L41" s="34">
        <v>0.9817543859649123</v>
      </c>
      <c r="M41" s="34">
        <f t="shared" si="6"/>
        <v>0.93</v>
      </c>
      <c r="V41" s="28"/>
      <c r="W41" s="28"/>
      <c r="X41" s="28"/>
      <c r="Y41" s="28"/>
    </row>
    <row r="42" ht="15.75" customHeight="1">
      <c r="A42" s="24"/>
      <c r="B42" s="24" t="s">
        <v>49</v>
      </c>
      <c r="C42" s="34">
        <v>0.8706896551724138</v>
      </c>
      <c r="D42" s="34">
        <v>0.8389655172413794</v>
      </c>
      <c r="E42" s="34">
        <v>0.5979310344827586</v>
      </c>
      <c r="F42" s="34">
        <v>0.7651724137931034</v>
      </c>
      <c r="G42" s="34">
        <v>0.9744827586206897</v>
      </c>
      <c r="H42" s="34">
        <v>0.28448275862068967</v>
      </c>
      <c r="I42" s="34">
        <v>0.3012068965517241</v>
      </c>
      <c r="J42" s="34">
        <v>0.8746551724137931</v>
      </c>
      <c r="K42" s="34">
        <v>0.9762068965517241</v>
      </c>
      <c r="L42" s="34">
        <v>0.003793103448275862</v>
      </c>
      <c r="M42" s="34">
        <f t="shared" si="6"/>
        <v>0.609137931</v>
      </c>
      <c r="U42" s="29"/>
      <c r="V42" s="28"/>
      <c r="W42" s="28"/>
      <c r="X42" s="28"/>
      <c r="Y42" s="28"/>
    </row>
    <row r="43" ht="15.75" customHeight="1">
      <c r="A43" s="24"/>
      <c r="B43" s="24" t="s">
        <v>50</v>
      </c>
      <c r="C43" s="34">
        <v>0.9837113402061856</v>
      </c>
      <c r="D43" s="34">
        <v>0.8024742268041237</v>
      </c>
      <c r="E43" s="34">
        <v>0.9997938144329896</v>
      </c>
      <c r="F43" s="34">
        <v>0.6492783505154639</v>
      </c>
      <c r="G43" s="34">
        <v>0.9698969072164948</v>
      </c>
      <c r="H43" s="34">
        <v>0.6362886597938144</v>
      </c>
      <c r="I43" s="34">
        <v>0.8111340206185567</v>
      </c>
      <c r="J43" s="34">
        <v>0.9989690721649485</v>
      </c>
      <c r="K43" s="34">
        <v>0.999381443298969</v>
      </c>
      <c r="L43" s="34">
        <v>0.9414432989690722</v>
      </c>
      <c r="M43" s="34">
        <f t="shared" si="6"/>
        <v>0.861443299</v>
      </c>
      <c r="U43" s="29"/>
      <c r="V43" s="30"/>
      <c r="W43" s="30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V44" s="30"/>
      <c r="W44" s="30"/>
    </row>
    <row r="45" ht="15.75" customHeight="1">
      <c r="A45" s="24" t="s">
        <v>15</v>
      </c>
      <c r="B45" s="24"/>
      <c r="C45" s="24" t="s">
        <v>86</v>
      </c>
      <c r="D45" s="24" t="s">
        <v>61</v>
      </c>
      <c r="E45" s="24" t="s">
        <v>62</v>
      </c>
      <c r="F45" s="24" t="s">
        <v>63</v>
      </c>
      <c r="G45" s="24" t="s">
        <v>64</v>
      </c>
      <c r="H45" s="41" t="s">
        <v>65</v>
      </c>
      <c r="I45" s="41" t="s">
        <v>66</v>
      </c>
      <c r="J45" s="41" t="s">
        <v>67</v>
      </c>
      <c r="K45" s="41" t="s">
        <v>68</v>
      </c>
      <c r="L45" s="24" t="s">
        <v>84</v>
      </c>
      <c r="M45" s="24" t="s">
        <v>88</v>
      </c>
    </row>
    <row r="46" ht="15.75" customHeight="1">
      <c r="A46" s="24" t="s">
        <v>38</v>
      </c>
      <c r="B46" s="24" t="s">
        <v>39</v>
      </c>
      <c r="C46" s="34">
        <v>0.9368825466520307</v>
      </c>
      <c r="D46" s="32">
        <v>0.9821624588364435</v>
      </c>
      <c r="E46" s="34">
        <v>0.9842663739480424</v>
      </c>
      <c r="F46" s="34">
        <v>0.9793267471642884</v>
      </c>
      <c r="G46" s="32">
        <v>0.9824368825466521</v>
      </c>
      <c r="H46" s="34">
        <v>0.9039517014270033</v>
      </c>
      <c r="I46" s="34">
        <v>0.9805159165751921</v>
      </c>
      <c r="J46" s="32">
        <v>0.9850896450786681</v>
      </c>
      <c r="K46" s="34">
        <v>0.9758507135016465</v>
      </c>
      <c r="L46" s="34">
        <v>0.73856567874131</v>
      </c>
      <c r="M46" s="34">
        <f t="shared" ref="M46:M54" si="7">AVERAGE(H46:K46)</f>
        <v>0.9613519941</v>
      </c>
      <c r="U46" s="29"/>
    </row>
    <row r="47" ht="15.75" customHeight="1">
      <c r="A47" s="24"/>
      <c r="B47" s="24" t="s">
        <v>40</v>
      </c>
      <c r="C47" s="34">
        <v>0.8539427879521719</v>
      </c>
      <c r="D47" s="34">
        <v>0.5969426365975481</v>
      </c>
      <c r="E47" s="34">
        <v>0.984259119116089</v>
      </c>
      <c r="F47" s="34">
        <v>0.9355229302255184</v>
      </c>
      <c r="G47" s="34">
        <v>0.9633721810201301</v>
      </c>
      <c r="H47" s="34">
        <v>0.9387013773270774</v>
      </c>
      <c r="I47" s="34">
        <v>0.9347661571060996</v>
      </c>
      <c r="J47" s="34">
        <v>0.957166641440896</v>
      </c>
      <c r="K47" s="34">
        <v>0.7278643862570001</v>
      </c>
      <c r="L47" s="34">
        <v>0.9691236567277131</v>
      </c>
      <c r="M47" s="34">
        <f t="shared" si="7"/>
        <v>0.8896246405</v>
      </c>
      <c r="U47" s="29"/>
    </row>
    <row r="48" ht="15.75" customHeight="1">
      <c r="A48" s="24" t="s">
        <v>41</v>
      </c>
      <c r="B48" s="24" t="s">
        <v>42</v>
      </c>
      <c r="C48" s="34">
        <v>0.9724318049912942</v>
      </c>
      <c r="D48" s="34">
        <v>0.9782356355194428</v>
      </c>
      <c r="E48" s="34">
        <v>0.9927452118398142</v>
      </c>
      <c r="F48" s="34">
        <v>0.6033081834010446</v>
      </c>
      <c r="G48" s="34">
        <v>0.9814277423099246</v>
      </c>
      <c r="H48" s="34">
        <v>0.99</v>
      </c>
      <c r="I48" s="34">
        <v>0.8224027858386536</v>
      </c>
      <c r="J48" s="34">
        <v>0.3946604759141033</v>
      </c>
      <c r="K48" s="34">
        <v>0.99</v>
      </c>
      <c r="L48" s="34">
        <v>0.5914103308183402</v>
      </c>
      <c r="M48" s="34">
        <f t="shared" si="7"/>
        <v>0.7992658154</v>
      </c>
    </row>
    <row r="49" ht="15.75" customHeight="1">
      <c r="A49" s="24"/>
      <c r="B49" s="24" t="s">
        <v>43</v>
      </c>
      <c r="C49" s="34">
        <v>0.921922965537214</v>
      </c>
      <c r="D49" s="34">
        <v>0.9843903851723139</v>
      </c>
      <c r="E49" s="34">
        <v>0.48832898928468</v>
      </c>
      <c r="F49" s="34">
        <v>0.7890819577179264</v>
      </c>
      <c r="G49" s="34">
        <v>0.9019113814074717</v>
      </c>
      <c r="H49" s="34">
        <v>0.9134375905010136</v>
      </c>
      <c r="I49" s="34">
        <v>0.9517520996235158</v>
      </c>
      <c r="J49" s="34">
        <v>0.4217202432667246</v>
      </c>
      <c r="K49" s="34">
        <v>0.9850564726324935</v>
      </c>
      <c r="L49" s="34">
        <v>0.014711844772661454</v>
      </c>
      <c r="M49" s="34">
        <f t="shared" si="7"/>
        <v>0.8179916015</v>
      </c>
    </row>
    <row r="50" ht="15.75" customHeight="1">
      <c r="A50" s="24" t="s">
        <v>44</v>
      </c>
      <c r="B50" s="24" t="s">
        <v>45</v>
      </c>
      <c r="C50" s="34">
        <v>0.9764870213013619</v>
      </c>
      <c r="D50" s="34">
        <v>0.7964730531952042</v>
      </c>
      <c r="E50" s="34">
        <v>0.9837038761494588</v>
      </c>
      <c r="F50" s="34">
        <v>0.7316959608893028</v>
      </c>
      <c r="G50" s="34">
        <v>0.9827144686299616</v>
      </c>
      <c r="H50" s="34">
        <v>0.9771854266092422</v>
      </c>
      <c r="I50" s="34">
        <v>0.9835292748224886</v>
      </c>
      <c r="J50" s="34">
        <v>0.9698521708764987</v>
      </c>
      <c r="K50" s="34">
        <v>0.983587475264812</v>
      </c>
      <c r="L50" s="34">
        <v>0.7108020020952159</v>
      </c>
      <c r="M50" s="34">
        <f t="shared" si="7"/>
        <v>0.9785385869</v>
      </c>
      <c r="U50" s="29"/>
    </row>
    <row r="51" ht="15.75" customHeight="1">
      <c r="A51" s="24"/>
      <c r="B51" s="24" t="s">
        <v>46</v>
      </c>
      <c r="C51" s="34">
        <v>0.9825796886582654</v>
      </c>
      <c r="D51" s="34">
        <v>0.861537646934237</v>
      </c>
      <c r="E51" s="34">
        <v>0.9849094567404426</v>
      </c>
      <c r="F51" s="34">
        <v>0.6951975007942391</v>
      </c>
      <c r="G51" s="34">
        <v>0.9861802393307212</v>
      </c>
      <c r="H51" s="34">
        <v>0.9616911998305623</v>
      </c>
      <c r="I51" s="34">
        <v>0.9856242719474744</v>
      </c>
      <c r="J51" s="34">
        <v>0.982553214020968</v>
      </c>
      <c r="K51" s="34">
        <v>0.9838504712485439</v>
      </c>
      <c r="L51" s="34">
        <v>0.9161283490416181</v>
      </c>
      <c r="M51" s="34">
        <f t="shared" si="7"/>
        <v>0.9784297893</v>
      </c>
      <c r="U51" s="29"/>
    </row>
    <row r="52" ht="15.75" customHeight="1">
      <c r="A52" s="24" t="s">
        <v>47</v>
      </c>
      <c r="B52" s="24" t="s">
        <v>48</v>
      </c>
      <c r="C52" s="34">
        <v>0.9510006901311249</v>
      </c>
      <c r="D52" s="34">
        <v>0.9309868875086267</v>
      </c>
      <c r="E52" s="34">
        <v>0.9868875086266391</v>
      </c>
      <c r="F52" s="34">
        <v>0.8971704623878537</v>
      </c>
      <c r="G52" s="34">
        <v>0.9817115251897861</v>
      </c>
      <c r="H52" s="34">
        <v>0.9830917874396136</v>
      </c>
      <c r="I52" s="34">
        <v>0.7160110420979986</v>
      </c>
      <c r="J52" s="34">
        <v>0.9834368530020704</v>
      </c>
      <c r="K52" s="34">
        <v>0.98</v>
      </c>
      <c r="L52" s="34">
        <v>0.9706694271911663</v>
      </c>
      <c r="M52" s="34">
        <f t="shared" si="7"/>
        <v>0.9156349206</v>
      </c>
    </row>
    <row r="53" ht="15.75" customHeight="1">
      <c r="A53" s="24"/>
      <c r="B53" s="24" t="s">
        <v>49</v>
      </c>
      <c r="C53" s="34">
        <v>0.8562003045170022</v>
      </c>
      <c r="D53" s="34">
        <v>0.8267636609710709</v>
      </c>
      <c r="E53" s="34">
        <v>0.600575198781932</v>
      </c>
      <c r="F53" s="34">
        <v>0.7643376755202166</v>
      </c>
      <c r="G53" s="34">
        <v>0.9573676196920995</v>
      </c>
      <c r="H53" s="34">
        <v>0.29571984435797666</v>
      </c>
      <c r="I53" s="34">
        <v>0.3121299272542717</v>
      </c>
      <c r="J53" s="34">
        <v>0.8629673490103198</v>
      </c>
      <c r="K53" s="34">
        <v>0.958721028590763</v>
      </c>
      <c r="L53" s="34">
        <v>0.02250042294028083</v>
      </c>
      <c r="M53" s="34">
        <f t="shared" si="7"/>
        <v>0.6073845373</v>
      </c>
    </row>
    <row r="54" ht="15.75" customHeight="1">
      <c r="A54" s="24"/>
      <c r="B54" s="24" t="s">
        <v>50</v>
      </c>
      <c r="C54" s="34">
        <v>0.9728635074929121</v>
      </c>
      <c r="D54" s="34">
        <v>0.7991089509923046</v>
      </c>
      <c r="E54" s="34">
        <v>0.9821790198460916</v>
      </c>
      <c r="F54" s="34">
        <v>0.649453219927096</v>
      </c>
      <c r="G54" s="34">
        <v>0.9609153503442689</v>
      </c>
      <c r="H54" s="34">
        <v>0.6326447954637505</v>
      </c>
      <c r="I54" s="34">
        <v>0.797893884163629</v>
      </c>
      <c r="J54" s="34">
        <v>0.9813689752936412</v>
      </c>
      <c r="K54" s="34">
        <v>0.9817739975698664</v>
      </c>
      <c r="L54" s="34">
        <v>0.9258809234507898</v>
      </c>
      <c r="M54" s="34">
        <f t="shared" si="7"/>
        <v>0.8484204131</v>
      </c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ht="15.75" customHeight="1">
      <c r="A56" s="24" t="s">
        <v>79</v>
      </c>
      <c r="B56" s="24"/>
      <c r="C56" s="24" t="s">
        <v>86</v>
      </c>
      <c r="D56" s="24" t="s">
        <v>61</v>
      </c>
      <c r="E56" s="24" t="s">
        <v>62</v>
      </c>
      <c r="F56" s="24" t="s">
        <v>63</v>
      </c>
      <c r="G56" s="24" t="s">
        <v>64</v>
      </c>
      <c r="H56" s="41" t="s">
        <v>65</v>
      </c>
      <c r="I56" s="41" t="s">
        <v>66</v>
      </c>
      <c r="J56" s="41" t="s">
        <v>67</v>
      </c>
      <c r="K56" s="41" t="s">
        <v>68</v>
      </c>
      <c r="L56" s="24" t="s">
        <v>84</v>
      </c>
      <c r="M56" s="24" t="s">
        <v>88</v>
      </c>
    </row>
    <row r="57" ht="15.75" customHeight="1">
      <c r="A57" s="24" t="s">
        <v>38</v>
      </c>
      <c r="B57" s="24" t="s">
        <v>39</v>
      </c>
      <c r="C57" s="34">
        <v>0.1685382744322938</v>
      </c>
      <c r="D57" s="34">
        <v>0.09434937564398191</v>
      </c>
      <c r="E57" s="32">
        <v>0.23317948473596276</v>
      </c>
      <c r="F57" s="34">
        <v>0.1333695271476869</v>
      </c>
      <c r="G57" s="34">
        <v>0.19680546500160553</v>
      </c>
      <c r="H57" s="32">
        <v>0.11780656673453044</v>
      </c>
      <c r="I57" s="34">
        <v>0.25371948386485216</v>
      </c>
      <c r="J57" s="34">
        <v>0.3230462894749057</v>
      </c>
      <c r="K57" s="32">
        <v>0.25844476384722465</v>
      </c>
      <c r="L57" s="34">
        <v>0.1093521225502928</v>
      </c>
      <c r="M57" s="34">
        <f t="shared" ref="M57:M65" si="8">AVERAGE(H57:K57)</f>
        <v>0.238254276</v>
      </c>
    </row>
    <row r="58" ht="15.75" customHeight="1">
      <c r="A58" s="24"/>
      <c r="B58" s="24" t="s">
        <v>40</v>
      </c>
      <c r="C58" s="34">
        <v>0.19567124441827102</v>
      </c>
      <c r="D58" s="34">
        <v>0.11357114840952809</v>
      </c>
      <c r="E58" s="34">
        <v>0.16611998550512377</v>
      </c>
      <c r="F58" s="34">
        <v>0.10889160534365497</v>
      </c>
      <c r="G58" s="34">
        <v>0.24678919650884576</v>
      </c>
      <c r="H58" s="34">
        <v>0.03778675474598207</v>
      </c>
      <c r="I58" s="34">
        <v>0.21531265092874946</v>
      </c>
      <c r="J58" s="34">
        <v>0.06131512357190358</v>
      </c>
      <c r="K58" s="34">
        <v>0.14877686549065466</v>
      </c>
      <c r="L58" s="34">
        <v>0.05706154357566831</v>
      </c>
      <c r="M58" s="34">
        <f t="shared" si="8"/>
        <v>0.1157978487</v>
      </c>
    </row>
    <row r="59" ht="15.75" customHeight="1">
      <c r="A59" s="24" t="s">
        <v>41</v>
      </c>
      <c r="B59" s="24" t="s">
        <v>42</v>
      </c>
      <c r="C59" s="34">
        <v>0.28628877711651796</v>
      </c>
      <c r="D59" s="34">
        <v>0.3133018787919686</v>
      </c>
      <c r="E59" s="34">
        <v>0.6101373291956449</v>
      </c>
      <c r="F59" s="34">
        <v>0.044478359683713754</v>
      </c>
      <c r="G59" s="34">
        <v>0.34385643109924263</v>
      </c>
      <c r="H59" s="34">
        <v>0.0</v>
      </c>
      <c r="I59" s="34">
        <v>0.11176683427948556</v>
      </c>
      <c r="J59" s="34">
        <v>0.08539117888945881</v>
      </c>
      <c r="K59" s="34">
        <v>0.0</v>
      </c>
      <c r="L59" s="34">
        <v>0.10058817128903032</v>
      </c>
      <c r="M59" s="34">
        <f t="shared" si="8"/>
        <v>0.04928950329</v>
      </c>
    </row>
    <row r="60" ht="15.75" customHeight="1">
      <c r="A60" s="24"/>
      <c r="B60" s="24" t="s">
        <v>43</v>
      </c>
      <c r="C60" s="34">
        <v>0.06806730307660093</v>
      </c>
      <c r="D60" s="34">
        <v>0.08615756389743875</v>
      </c>
      <c r="E60" s="34">
        <v>0.08147346353291787</v>
      </c>
      <c r="F60" s="34">
        <v>0.09225559544378993</v>
      </c>
      <c r="G60" s="34">
        <v>0.19528520020549728</v>
      </c>
      <c r="H60" s="34">
        <v>0.05997307336183644</v>
      </c>
      <c r="I60" s="34">
        <v>0.04443607684786635</v>
      </c>
      <c r="J60" s="34">
        <v>0.04997910941301374</v>
      </c>
      <c r="K60" s="34">
        <v>-0.003835672611085622</v>
      </c>
      <c r="L60" s="34">
        <v>0.0033823530775121684</v>
      </c>
      <c r="M60" s="34">
        <f t="shared" si="8"/>
        <v>0.03763814675</v>
      </c>
    </row>
    <row r="61" ht="15.75" customHeight="1">
      <c r="A61" s="24" t="s">
        <v>44</v>
      </c>
      <c r="B61" s="24" t="s">
        <v>45</v>
      </c>
      <c r="C61" s="34">
        <v>0.08219529220337424</v>
      </c>
      <c r="D61" s="34">
        <v>-0.051640756264299384</v>
      </c>
      <c r="E61" s="34">
        <v>0.08352610238999449</v>
      </c>
      <c r="F61" s="34">
        <v>0.15276529604129502</v>
      </c>
      <c r="G61" s="34">
        <v>0.07280365222401465</v>
      </c>
      <c r="H61" s="34">
        <v>0.01144435732639117</v>
      </c>
      <c r="I61" s="34">
        <v>-9.855008040244352E-4</v>
      </c>
      <c r="J61" s="34">
        <v>0.025482894137607192</v>
      </c>
      <c r="K61" s="34">
        <v>0.0</v>
      </c>
      <c r="L61" s="34">
        <v>0.06102968866391603</v>
      </c>
      <c r="M61" s="34">
        <f t="shared" si="8"/>
        <v>0.008985437665</v>
      </c>
    </row>
    <row r="62" ht="15.75" customHeight="1">
      <c r="A62" s="24"/>
      <c r="B62" s="24" t="s">
        <v>46</v>
      </c>
      <c r="C62" s="34">
        <v>0.31201966219381716</v>
      </c>
      <c r="D62" s="34">
        <v>0.13332438886228967</v>
      </c>
      <c r="E62" s="34">
        <v>0.05868335850359611</v>
      </c>
      <c r="F62" s="34">
        <v>0.08246014505047013</v>
      </c>
      <c r="G62" s="34">
        <v>0.33686435154250066</v>
      </c>
      <c r="H62" s="34">
        <v>0.28011307795680923</v>
      </c>
      <c r="I62" s="34">
        <v>0.22724988035907934</v>
      </c>
      <c r="J62" s="34">
        <v>0.4304485874246472</v>
      </c>
      <c r="K62" s="34">
        <v>0.054933351816411916</v>
      </c>
      <c r="L62" s="34">
        <v>-0.022778975840462318</v>
      </c>
      <c r="M62" s="34">
        <f t="shared" si="8"/>
        <v>0.2481862244</v>
      </c>
    </row>
    <row r="63" ht="15.75" customHeight="1">
      <c r="A63" s="24" t="s">
        <v>47</v>
      </c>
      <c r="B63" s="24" t="s">
        <v>48</v>
      </c>
      <c r="C63" s="34">
        <v>0.17295477609214865</v>
      </c>
      <c r="D63" s="34">
        <v>0.1335706915387197</v>
      </c>
      <c r="E63" s="34">
        <v>0.4534226563187573</v>
      </c>
      <c r="F63" s="34">
        <v>0.18581295600712622</v>
      </c>
      <c r="G63" s="34">
        <v>0.3129183632347377</v>
      </c>
      <c r="H63" s="34">
        <v>0.15884964634522822</v>
      </c>
      <c r="I63" s="34">
        <v>0.03330495552147925</v>
      </c>
      <c r="J63" s="34">
        <v>0.0</v>
      </c>
      <c r="K63" s="34">
        <v>0.0</v>
      </c>
      <c r="L63" s="34">
        <v>0.2498956276867522</v>
      </c>
      <c r="M63" s="34">
        <f t="shared" si="8"/>
        <v>0.04803865047</v>
      </c>
    </row>
    <row r="64" ht="15.75" customHeight="1">
      <c r="A64" s="24"/>
      <c r="B64" s="24" t="s">
        <v>49</v>
      </c>
      <c r="C64" s="34">
        <v>-0.0122447007718741</v>
      </c>
      <c r="D64" s="34">
        <v>0.010383867906981611</v>
      </c>
      <c r="E64" s="34">
        <v>0.09297435273513406</v>
      </c>
      <c r="F64" s="34">
        <v>0.15357779975524427</v>
      </c>
      <c r="G64" s="34">
        <v>0.031894137168451527</v>
      </c>
      <c r="H64" s="34">
        <v>0.05052466166944721</v>
      </c>
      <c r="I64" s="34">
        <v>0.054647772324342335</v>
      </c>
      <c r="J64" s="34">
        <v>0.051609848840941955</v>
      </c>
      <c r="K64" s="34">
        <v>0.01877558404520774</v>
      </c>
      <c r="L64" s="34">
        <v>0.008455475896535086</v>
      </c>
      <c r="M64" s="34">
        <f t="shared" si="8"/>
        <v>0.04388946672</v>
      </c>
    </row>
    <row r="65" ht="15.75" customHeight="1">
      <c r="A65" s="24"/>
      <c r="B65" s="24" t="s">
        <v>50</v>
      </c>
      <c r="C65" s="34">
        <v>0.3187532648989454</v>
      </c>
      <c r="D65" s="34">
        <v>0.13638153388906524</v>
      </c>
      <c r="E65" s="34">
        <v>0.07336258274319239</v>
      </c>
      <c r="F65" s="34">
        <v>0.08519323302396677</v>
      </c>
      <c r="G65" s="34">
        <v>0.3020592155342895</v>
      </c>
      <c r="H65" s="34">
        <v>0.0187170554004881</v>
      </c>
      <c r="I65" s="34">
        <v>-0.04097322693034212</v>
      </c>
      <c r="J65" s="34">
        <v>0.03924092398593126</v>
      </c>
      <c r="K65" s="34">
        <v>0.049968035654669125</v>
      </c>
      <c r="L65" s="34">
        <v>0.005416093721764152</v>
      </c>
      <c r="M65" s="34">
        <f t="shared" si="8"/>
        <v>0.01673819703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2.86"/>
    <col customWidth="1" min="5" max="40" width="8.86"/>
  </cols>
  <sheetData>
    <row r="1">
      <c r="A1" s="27" t="s">
        <v>89</v>
      </c>
      <c r="B1" s="27" t="str">
        <f t="array" ref="B1">_xludf.UNIQUE(A:A)</f>
        <v>#NAME?</v>
      </c>
      <c r="C1" s="27" t="s">
        <v>89</v>
      </c>
      <c r="D1" s="33" t="s">
        <v>37</v>
      </c>
      <c r="E1" s="33" t="s">
        <v>37</v>
      </c>
      <c r="F1" s="33" t="s">
        <v>35</v>
      </c>
      <c r="G1" s="33" t="s">
        <v>35</v>
      </c>
      <c r="H1" s="27" t="s">
        <v>90</v>
      </c>
      <c r="I1" s="27" t="s">
        <v>90</v>
      </c>
      <c r="J1" s="27" t="s">
        <v>91</v>
      </c>
      <c r="K1" s="27" t="s">
        <v>91</v>
      </c>
      <c r="L1" s="27" t="s">
        <v>63</v>
      </c>
      <c r="M1" s="27" t="s">
        <v>63</v>
      </c>
      <c r="N1" s="27" t="s">
        <v>92</v>
      </c>
      <c r="O1" s="27" t="s">
        <v>92</v>
      </c>
      <c r="P1" s="27" t="s">
        <v>93</v>
      </c>
      <c r="Q1" s="27" t="s">
        <v>93</v>
      </c>
      <c r="S1" s="27">
        <f>COUNT(S2:S59)</f>
        <v>58</v>
      </c>
      <c r="T1" s="27" t="s">
        <v>89</v>
      </c>
      <c r="U1" s="27" t="s">
        <v>90</v>
      </c>
      <c r="V1" s="27" t="s">
        <v>94</v>
      </c>
      <c r="W1" s="27" t="s">
        <v>95</v>
      </c>
      <c r="X1" s="27" t="s">
        <v>96</v>
      </c>
      <c r="Y1" s="33" t="s">
        <v>37</v>
      </c>
      <c r="Z1" s="33" t="s">
        <v>35</v>
      </c>
      <c r="AA1" s="27" t="s">
        <v>97</v>
      </c>
      <c r="AD1" s="27" t="s">
        <v>89</v>
      </c>
      <c r="AE1" s="27" t="s">
        <v>90</v>
      </c>
      <c r="AF1" s="27" t="s">
        <v>94</v>
      </c>
      <c r="AG1" s="27" t="s">
        <v>95</v>
      </c>
      <c r="AH1" s="27" t="s">
        <v>96</v>
      </c>
      <c r="AI1" s="27" t="s">
        <v>98</v>
      </c>
      <c r="AJ1" s="27" t="s">
        <v>99</v>
      </c>
      <c r="AK1" s="27" t="s">
        <v>97</v>
      </c>
    </row>
    <row r="2">
      <c r="A2" s="27">
        <v>1.0</v>
      </c>
      <c r="B2" s="27"/>
      <c r="C2" s="27">
        <f t="shared" ref="C2:C59" si="2">COUNTIF(A:A, $B2)</f>
        <v>0</v>
      </c>
      <c r="D2" s="27">
        <v>1.0</v>
      </c>
      <c r="E2" s="27">
        <f t="shared" ref="E2:E59" si="3">COUNTIF(D:D,$B2)</f>
        <v>0</v>
      </c>
      <c r="F2" s="27">
        <v>1.0</v>
      </c>
      <c r="G2" s="27">
        <f t="shared" ref="G2:G59" si="4">COUNTIF(F:F,$B2)</f>
        <v>0</v>
      </c>
      <c r="H2" s="27">
        <v>1.0</v>
      </c>
      <c r="I2" s="27">
        <f t="shared" ref="I2:I59" si="5">COUNTIF(H:H,$B2)</f>
        <v>0</v>
      </c>
      <c r="J2" s="27">
        <v>1.0</v>
      </c>
      <c r="K2" s="27">
        <f t="shared" ref="K2:K59" si="6">COUNTIF(J:J,$B2)</f>
        <v>0</v>
      </c>
      <c r="L2" s="27">
        <v>1.0</v>
      </c>
      <c r="M2" s="27">
        <f t="shared" ref="M2:M59" si="7">COUNTIF(L:L,$B2)</f>
        <v>0</v>
      </c>
      <c r="N2" s="27">
        <v>1.0</v>
      </c>
      <c r="O2" s="27">
        <f t="shared" ref="O2:O59" si="8">COUNTIF(N:N,$B2)</f>
        <v>0</v>
      </c>
      <c r="P2" s="27">
        <v>1.0</v>
      </c>
      <c r="Q2" s="27">
        <f t="shared" ref="Q2:Q59" si="9">COUNTIF(P:P,$B2)</f>
        <v>0</v>
      </c>
      <c r="S2" s="27">
        <v>1.0</v>
      </c>
      <c r="T2" s="27">
        <v>7.0</v>
      </c>
      <c r="U2" s="27">
        <v>7.0</v>
      </c>
      <c r="V2" s="27">
        <v>7.0</v>
      </c>
      <c r="W2" s="27">
        <v>6.0</v>
      </c>
      <c r="X2" s="27">
        <v>6.0</v>
      </c>
      <c r="Y2" s="27">
        <v>7.0</v>
      </c>
      <c r="Z2" s="27">
        <v>4.0</v>
      </c>
      <c r="AA2" s="27">
        <v>5.0</v>
      </c>
      <c r="AC2" s="27">
        <v>1.0</v>
      </c>
      <c r="AD2" s="27">
        <f t="shared" ref="AD2:AK2" si="1">T2/$S$1</f>
        <v>0.1206896552</v>
      </c>
      <c r="AE2" s="27">
        <f t="shared" si="1"/>
        <v>0.1206896552</v>
      </c>
      <c r="AF2" s="27">
        <f t="shared" si="1"/>
        <v>0.1206896552</v>
      </c>
      <c r="AG2" s="27">
        <f t="shared" si="1"/>
        <v>0.1034482759</v>
      </c>
      <c r="AH2" s="27">
        <f t="shared" si="1"/>
        <v>0.1034482759</v>
      </c>
      <c r="AI2" s="27">
        <f t="shared" si="1"/>
        <v>0.1206896552</v>
      </c>
      <c r="AJ2" s="27">
        <f t="shared" si="1"/>
        <v>0.06896551724</v>
      </c>
      <c r="AK2" s="27">
        <f t="shared" si="1"/>
        <v>0.08620689655</v>
      </c>
    </row>
    <row r="3">
      <c r="A3" s="27">
        <v>2.0</v>
      </c>
      <c r="B3" s="27"/>
      <c r="C3" s="27">
        <f t="shared" si="2"/>
        <v>0</v>
      </c>
      <c r="D3" s="27">
        <v>2.0</v>
      </c>
      <c r="E3" s="27">
        <f t="shared" si="3"/>
        <v>0</v>
      </c>
      <c r="F3" s="27">
        <v>1.0</v>
      </c>
      <c r="G3" s="27">
        <f t="shared" si="4"/>
        <v>0</v>
      </c>
      <c r="H3" s="27">
        <v>2.0</v>
      </c>
      <c r="I3" s="27">
        <f t="shared" si="5"/>
        <v>0</v>
      </c>
      <c r="J3" s="27">
        <v>2.0</v>
      </c>
      <c r="K3" s="27">
        <f t="shared" si="6"/>
        <v>0</v>
      </c>
      <c r="L3" s="27">
        <v>2.0</v>
      </c>
      <c r="M3" s="27">
        <f t="shared" si="7"/>
        <v>0</v>
      </c>
      <c r="N3" s="27">
        <v>1.0</v>
      </c>
      <c r="O3" s="27">
        <f t="shared" si="8"/>
        <v>0</v>
      </c>
      <c r="P3" s="27">
        <v>1.0</v>
      </c>
      <c r="Q3" s="27">
        <f t="shared" si="9"/>
        <v>0</v>
      </c>
      <c r="S3" s="27">
        <v>2.0</v>
      </c>
      <c r="T3" s="27">
        <v>4.0</v>
      </c>
      <c r="U3" s="27">
        <v>4.0</v>
      </c>
      <c r="V3" s="27">
        <v>4.0</v>
      </c>
      <c r="W3" s="27">
        <v>0.0</v>
      </c>
      <c r="X3" s="27">
        <v>4.0</v>
      </c>
      <c r="Y3" s="27">
        <v>4.0</v>
      </c>
      <c r="Z3" s="27">
        <v>3.0</v>
      </c>
      <c r="AA3" s="27">
        <v>0.0</v>
      </c>
      <c r="AC3" s="27">
        <v>2.0</v>
      </c>
      <c r="AD3" s="27">
        <f t="shared" ref="AD3:AK3" si="10">T3/$S$1</f>
        <v>0.06896551724</v>
      </c>
      <c r="AE3" s="27">
        <f t="shared" si="10"/>
        <v>0.06896551724</v>
      </c>
      <c r="AF3" s="27">
        <f t="shared" si="10"/>
        <v>0.06896551724</v>
      </c>
      <c r="AG3" s="27">
        <f t="shared" si="10"/>
        <v>0</v>
      </c>
      <c r="AH3" s="27">
        <f t="shared" si="10"/>
        <v>0.06896551724</v>
      </c>
      <c r="AI3" s="27">
        <f t="shared" si="10"/>
        <v>0.06896551724</v>
      </c>
      <c r="AJ3" s="27">
        <f t="shared" si="10"/>
        <v>0.05172413793</v>
      </c>
      <c r="AK3" s="27">
        <f t="shared" si="10"/>
        <v>0</v>
      </c>
    </row>
    <row r="4">
      <c r="A4" s="27">
        <v>3.0</v>
      </c>
      <c r="B4" s="27"/>
      <c r="C4" s="27">
        <f t="shared" si="2"/>
        <v>0</v>
      </c>
      <c r="D4" s="27">
        <v>3.0</v>
      </c>
      <c r="E4" s="27">
        <f t="shared" si="3"/>
        <v>0</v>
      </c>
      <c r="F4" s="27">
        <v>1.0</v>
      </c>
      <c r="G4" s="27">
        <f t="shared" si="4"/>
        <v>0</v>
      </c>
      <c r="H4" s="27">
        <v>3.0</v>
      </c>
      <c r="I4" s="27">
        <f t="shared" si="5"/>
        <v>0</v>
      </c>
      <c r="J4" s="27">
        <v>3.0</v>
      </c>
      <c r="K4" s="27">
        <f t="shared" si="6"/>
        <v>0</v>
      </c>
      <c r="L4" s="27">
        <v>3.0</v>
      </c>
      <c r="M4" s="27">
        <f t="shared" si="7"/>
        <v>0</v>
      </c>
      <c r="N4" s="27">
        <v>1.0</v>
      </c>
      <c r="O4" s="27">
        <f t="shared" si="8"/>
        <v>0</v>
      </c>
      <c r="P4" s="27">
        <v>9.0</v>
      </c>
      <c r="Q4" s="27">
        <f t="shared" si="9"/>
        <v>0</v>
      </c>
      <c r="S4" s="27">
        <v>3.0</v>
      </c>
      <c r="T4" s="27">
        <v>1.0</v>
      </c>
      <c r="U4" s="27">
        <v>1.0</v>
      </c>
      <c r="V4" s="27">
        <v>1.0</v>
      </c>
      <c r="W4" s="27">
        <v>0.0</v>
      </c>
      <c r="X4" s="27">
        <v>1.0</v>
      </c>
      <c r="Y4" s="27">
        <v>1.0</v>
      </c>
      <c r="Z4" s="27">
        <v>0.0</v>
      </c>
      <c r="AA4" s="27">
        <v>0.0</v>
      </c>
      <c r="AC4" s="27">
        <v>3.0</v>
      </c>
      <c r="AD4" s="27">
        <f t="shared" ref="AD4:AK4" si="11">T4/$S$1</f>
        <v>0.01724137931</v>
      </c>
      <c r="AE4" s="27">
        <f t="shared" si="11"/>
        <v>0.01724137931</v>
      </c>
      <c r="AF4" s="27">
        <f t="shared" si="11"/>
        <v>0.01724137931</v>
      </c>
      <c r="AG4" s="27">
        <f t="shared" si="11"/>
        <v>0</v>
      </c>
      <c r="AH4" s="27">
        <f t="shared" si="11"/>
        <v>0.01724137931</v>
      </c>
      <c r="AI4" s="27">
        <f t="shared" si="11"/>
        <v>0.01724137931</v>
      </c>
      <c r="AJ4" s="27">
        <f t="shared" si="11"/>
        <v>0</v>
      </c>
      <c r="AK4" s="27">
        <f t="shared" si="11"/>
        <v>0</v>
      </c>
    </row>
    <row r="5">
      <c r="A5" s="27">
        <v>1.0</v>
      </c>
      <c r="B5" s="27"/>
      <c r="C5" s="27">
        <f t="shared" si="2"/>
        <v>0</v>
      </c>
      <c r="D5" s="27">
        <v>1.0</v>
      </c>
      <c r="E5" s="27">
        <f t="shared" si="3"/>
        <v>0</v>
      </c>
      <c r="F5" s="27">
        <v>11.0</v>
      </c>
      <c r="G5" s="27">
        <f t="shared" si="4"/>
        <v>0</v>
      </c>
      <c r="H5" s="27">
        <v>1.0</v>
      </c>
      <c r="I5" s="27">
        <f t="shared" si="5"/>
        <v>0</v>
      </c>
      <c r="J5" s="27">
        <v>1.0</v>
      </c>
      <c r="K5" s="27">
        <f t="shared" si="6"/>
        <v>0</v>
      </c>
      <c r="L5" s="27">
        <v>1.0</v>
      </c>
      <c r="M5" s="27">
        <f t="shared" si="7"/>
        <v>0</v>
      </c>
      <c r="N5" s="27">
        <v>1.0</v>
      </c>
      <c r="O5" s="27">
        <f t="shared" si="8"/>
        <v>0</v>
      </c>
      <c r="P5" s="27">
        <v>14.0</v>
      </c>
      <c r="Q5" s="27">
        <f t="shared" si="9"/>
        <v>0</v>
      </c>
      <c r="S5" s="27">
        <v>6.0</v>
      </c>
      <c r="T5" s="27">
        <v>1.0</v>
      </c>
      <c r="U5" s="27">
        <v>1.0</v>
      </c>
      <c r="V5" s="27">
        <v>1.0</v>
      </c>
      <c r="W5" s="27">
        <v>0.0</v>
      </c>
      <c r="X5" s="27">
        <v>1.0</v>
      </c>
      <c r="Y5" s="27">
        <v>1.0</v>
      </c>
      <c r="Z5" s="27">
        <v>0.0</v>
      </c>
      <c r="AA5" s="27">
        <v>0.0</v>
      </c>
      <c r="AC5" s="27">
        <v>6.0</v>
      </c>
      <c r="AD5" s="27">
        <f t="shared" ref="AD5:AK5" si="12">T5/$S$1</f>
        <v>0.01724137931</v>
      </c>
      <c r="AE5" s="27">
        <f t="shared" si="12"/>
        <v>0.01724137931</v>
      </c>
      <c r="AF5" s="27">
        <f t="shared" si="12"/>
        <v>0.01724137931</v>
      </c>
      <c r="AG5" s="27">
        <f t="shared" si="12"/>
        <v>0</v>
      </c>
      <c r="AH5" s="27">
        <f t="shared" si="12"/>
        <v>0.01724137931</v>
      </c>
      <c r="AI5" s="27">
        <f t="shared" si="12"/>
        <v>0.01724137931</v>
      </c>
      <c r="AJ5" s="27">
        <f t="shared" si="12"/>
        <v>0</v>
      </c>
      <c r="AK5" s="27">
        <f t="shared" si="12"/>
        <v>0</v>
      </c>
    </row>
    <row r="6">
      <c r="A6" s="27">
        <v>1.0</v>
      </c>
      <c r="B6" s="27"/>
      <c r="C6" s="27">
        <f t="shared" si="2"/>
        <v>0</v>
      </c>
      <c r="D6" s="27">
        <v>1.0</v>
      </c>
      <c r="E6" s="27">
        <f t="shared" si="3"/>
        <v>0</v>
      </c>
      <c r="F6" s="27">
        <v>11.0</v>
      </c>
      <c r="G6" s="27">
        <f t="shared" si="4"/>
        <v>0</v>
      </c>
      <c r="H6" s="27">
        <v>1.0</v>
      </c>
      <c r="I6" s="27">
        <f t="shared" si="5"/>
        <v>0</v>
      </c>
      <c r="J6" s="27">
        <v>1.0</v>
      </c>
      <c r="K6" s="27">
        <f t="shared" si="6"/>
        <v>0</v>
      </c>
      <c r="L6" s="27">
        <v>1.0</v>
      </c>
      <c r="M6" s="27">
        <f t="shared" si="7"/>
        <v>0</v>
      </c>
      <c r="N6" s="27">
        <v>1.0</v>
      </c>
      <c r="O6" s="27">
        <f t="shared" si="8"/>
        <v>0</v>
      </c>
      <c r="P6" s="27">
        <v>21.0</v>
      </c>
      <c r="Q6" s="27">
        <f t="shared" si="9"/>
        <v>0</v>
      </c>
      <c r="S6" s="27">
        <v>7.0</v>
      </c>
      <c r="T6" s="27">
        <v>1.0</v>
      </c>
      <c r="U6" s="27">
        <v>0.0</v>
      </c>
      <c r="V6" s="27">
        <v>1.0</v>
      </c>
      <c r="W6" s="27">
        <v>0.0</v>
      </c>
      <c r="X6" s="27">
        <v>0.0</v>
      </c>
      <c r="Y6" s="27">
        <v>0.0</v>
      </c>
      <c r="Z6" s="27">
        <v>0.0</v>
      </c>
      <c r="AA6" s="27">
        <v>0.0</v>
      </c>
      <c r="AC6" s="27">
        <v>7.0</v>
      </c>
      <c r="AD6" s="27">
        <f t="shared" ref="AD6:AK6" si="13">T6/$S$1</f>
        <v>0.01724137931</v>
      </c>
      <c r="AE6" s="27">
        <f t="shared" si="13"/>
        <v>0</v>
      </c>
      <c r="AF6" s="27">
        <f t="shared" si="13"/>
        <v>0.01724137931</v>
      </c>
      <c r="AG6" s="27">
        <f t="shared" si="13"/>
        <v>0</v>
      </c>
      <c r="AH6" s="27">
        <f t="shared" si="13"/>
        <v>0</v>
      </c>
      <c r="AI6" s="27">
        <f t="shared" si="13"/>
        <v>0</v>
      </c>
      <c r="AJ6" s="27">
        <f t="shared" si="13"/>
        <v>0</v>
      </c>
      <c r="AK6" s="27">
        <f t="shared" si="13"/>
        <v>0</v>
      </c>
    </row>
    <row r="7">
      <c r="A7" s="27">
        <v>6.0</v>
      </c>
      <c r="B7" s="27"/>
      <c r="C7" s="27">
        <f t="shared" si="2"/>
        <v>0</v>
      </c>
      <c r="D7" s="27">
        <v>6.0</v>
      </c>
      <c r="E7" s="27">
        <f t="shared" si="3"/>
        <v>0</v>
      </c>
      <c r="F7" s="27">
        <v>13.0</v>
      </c>
      <c r="G7" s="27">
        <f t="shared" si="4"/>
        <v>0</v>
      </c>
      <c r="H7" s="27">
        <v>6.0</v>
      </c>
      <c r="I7" s="27">
        <f t="shared" si="5"/>
        <v>0</v>
      </c>
      <c r="J7" s="27">
        <v>6.0</v>
      </c>
      <c r="K7" s="27">
        <f t="shared" si="6"/>
        <v>0</v>
      </c>
      <c r="L7" s="27">
        <v>6.0</v>
      </c>
      <c r="M7" s="27">
        <f t="shared" si="7"/>
        <v>0</v>
      </c>
      <c r="N7" s="27">
        <v>101.0</v>
      </c>
      <c r="O7" s="27">
        <f t="shared" si="8"/>
        <v>0</v>
      </c>
      <c r="P7" s="27">
        <v>25.0</v>
      </c>
      <c r="Q7" s="27">
        <f t="shared" si="9"/>
        <v>0</v>
      </c>
      <c r="S7" s="27">
        <v>9.0</v>
      </c>
      <c r="T7" s="27">
        <v>1.0</v>
      </c>
      <c r="U7" s="27">
        <v>0.0</v>
      </c>
      <c r="V7" s="27">
        <v>1.0</v>
      </c>
      <c r="W7" s="27">
        <v>0.0</v>
      </c>
      <c r="X7" s="27">
        <v>0.0</v>
      </c>
      <c r="Y7" s="27">
        <v>1.0</v>
      </c>
      <c r="Z7" s="27">
        <v>0.0</v>
      </c>
      <c r="AA7" s="27">
        <v>1.0</v>
      </c>
      <c r="AC7" s="27">
        <v>9.0</v>
      </c>
      <c r="AD7" s="27">
        <f t="shared" ref="AD7:AK7" si="14">T7/$S$1</f>
        <v>0.01724137931</v>
      </c>
      <c r="AE7" s="27">
        <f t="shared" si="14"/>
        <v>0</v>
      </c>
      <c r="AF7" s="27">
        <f t="shared" si="14"/>
        <v>0.01724137931</v>
      </c>
      <c r="AG7" s="27">
        <f t="shared" si="14"/>
        <v>0</v>
      </c>
      <c r="AH7" s="27">
        <f t="shared" si="14"/>
        <v>0</v>
      </c>
      <c r="AI7" s="27">
        <f t="shared" si="14"/>
        <v>0.01724137931</v>
      </c>
      <c r="AJ7" s="27">
        <f t="shared" si="14"/>
        <v>0</v>
      </c>
      <c r="AK7" s="27">
        <f t="shared" si="14"/>
        <v>0.01724137931</v>
      </c>
    </row>
    <row r="8">
      <c r="A8" s="27">
        <v>7.0</v>
      </c>
      <c r="B8" s="27"/>
      <c r="C8" s="27">
        <f t="shared" si="2"/>
        <v>0</v>
      </c>
      <c r="D8" s="27">
        <v>1.0</v>
      </c>
      <c r="E8" s="27">
        <f t="shared" si="3"/>
        <v>0</v>
      </c>
      <c r="F8" s="27">
        <v>14.0</v>
      </c>
      <c r="G8" s="27">
        <f t="shared" si="4"/>
        <v>0</v>
      </c>
      <c r="H8" s="27">
        <v>1.0</v>
      </c>
      <c r="I8" s="27">
        <f t="shared" si="5"/>
        <v>0</v>
      </c>
      <c r="J8" s="27">
        <v>7.0</v>
      </c>
      <c r="K8" s="27">
        <f t="shared" si="6"/>
        <v>0</v>
      </c>
      <c r="L8" s="27">
        <v>1.0</v>
      </c>
      <c r="M8" s="27">
        <f t="shared" si="7"/>
        <v>0</v>
      </c>
      <c r="N8" s="27">
        <v>1.0</v>
      </c>
      <c r="O8" s="27">
        <f t="shared" si="8"/>
        <v>0</v>
      </c>
      <c r="P8" s="27">
        <v>26.0</v>
      </c>
      <c r="Q8" s="27">
        <f t="shared" si="9"/>
        <v>0</v>
      </c>
      <c r="S8" s="27">
        <v>10.0</v>
      </c>
      <c r="T8" s="27">
        <v>8.0</v>
      </c>
      <c r="U8" s="27">
        <v>0.0</v>
      </c>
      <c r="V8" s="27">
        <v>4.0</v>
      </c>
      <c r="W8" s="27">
        <v>0.0</v>
      </c>
      <c r="X8" s="27">
        <v>0.0</v>
      </c>
      <c r="Y8" s="27">
        <v>4.0</v>
      </c>
      <c r="Z8" s="27">
        <v>4.0</v>
      </c>
      <c r="AA8" s="27">
        <v>0.0</v>
      </c>
      <c r="AC8" s="27">
        <v>10.0</v>
      </c>
      <c r="AD8" s="27">
        <f t="shared" ref="AD8:AK8" si="15">T8/$S$1</f>
        <v>0.1379310345</v>
      </c>
      <c r="AE8" s="27">
        <f t="shared" si="15"/>
        <v>0</v>
      </c>
      <c r="AF8" s="27">
        <f t="shared" si="15"/>
        <v>0.06896551724</v>
      </c>
      <c r="AG8" s="27">
        <f t="shared" si="15"/>
        <v>0</v>
      </c>
      <c r="AH8" s="27">
        <f t="shared" si="15"/>
        <v>0</v>
      </c>
      <c r="AI8" s="27">
        <f t="shared" si="15"/>
        <v>0.06896551724</v>
      </c>
      <c r="AJ8" s="27">
        <f t="shared" si="15"/>
        <v>0.06896551724</v>
      </c>
      <c r="AK8" s="27">
        <f t="shared" si="15"/>
        <v>0</v>
      </c>
    </row>
    <row r="9">
      <c r="A9" s="27">
        <v>1.0</v>
      </c>
      <c r="B9" s="27"/>
      <c r="C9" s="27">
        <f t="shared" si="2"/>
        <v>0</v>
      </c>
      <c r="D9" s="27">
        <v>9.0</v>
      </c>
      <c r="E9" s="27">
        <f t="shared" si="3"/>
        <v>0</v>
      </c>
      <c r="F9" s="27">
        <v>15.0</v>
      </c>
      <c r="G9" s="27">
        <f t="shared" si="4"/>
        <v>0</v>
      </c>
      <c r="H9" s="27">
        <v>11.0</v>
      </c>
      <c r="I9" s="27">
        <f t="shared" si="5"/>
        <v>0</v>
      </c>
      <c r="J9" s="27">
        <v>1.0</v>
      </c>
      <c r="K9" s="27">
        <f t="shared" si="6"/>
        <v>0</v>
      </c>
      <c r="L9" s="27">
        <v>28.0</v>
      </c>
      <c r="M9" s="27">
        <f t="shared" si="7"/>
        <v>0</v>
      </c>
      <c r="N9" s="27">
        <v>106.0</v>
      </c>
      <c r="O9" s="27">
        <f t="shared" si="8"/>
        <v>0</v>
      </c>
      <c r="P9" s="27">
        <v>29.0</v>
      </c>
      <c r="Q9" s="27">
        <f t="shared" si="9"/>
        <v>0</v>
      </c>
      <c r="S9" s="27">
        <v>11.0</v>
      </c>
      <c r="T9" s="27">
        <v>2.0</v>
      </c>
      <c r="U9" s="27">
        <v>2.0</v>
      </c>
      <c r="V9" s="27">
        <v>2.0</v>
      </c>
      <c r="W9" s="27">
        <v>0.0</v>
      </c>
      <c r="X9" s="27">
        <v>0.0</v>
      </c>
      <c r="Y9" s="27">
        <v>2.0</v>
      </c>
      <c r="Z9" s="27">
        <v>2.0</v>
      </c>
      <c r="AA9" s="27">
        <v>0.0</v>
      </c>
      <c r="AC9" s="27">
        <v>11.0</v>
      </c>
      <c r="AD9" s="27">
        <f t="shared" ref="AD9:AK9" si="16">T9/$S$1</f>
        <v>0.03448275862</v>
      </c>
      <c r="AE9" s="27">
        <f t="shared" si="16"/>
        <v>0.03448275862</v>
      </c>
      <c r="AF9" s="27">
        <f t="shared" si="16"/>
        <v>0.03448275862</v>
      </c>
      <c r="AG9" s="27">
        <f t="shared" si="16"/>
        <v>0</v>
      </c>
      <c r="AH9" s="27">
        <f t="shared" si="16"/>
        <v>0</v>
      </c>
      <c r="AI9" s="27">
        <f t="shared" si="16"/>
        <v>0.03448275862</v>
      </c>
      <c r="AJ9" s="27">
        <f t="shared" si="16"/>
        <v>0.03448275862</v>
      </c>
      <c r="AK9" s="27">
        <f t="shared" si="16"/>
        <v>0</v>
      </c>
    </row>
    <row r="10">
      <c r="A10" s="27">
        <v>9.0</v>
      </c>
      <c r="B10" s="27"/>
      <c r="C10" s="27">
        <f t="shared" si="2"/>
        <v>0</v>
      </c>
      <c r="D10" s="27">
        <v>11.0</v>
      </c>
      <c r="E10" s="27">
        <f t="shared" si="3"/>
        <v>0</v>
      </c>
      <c r="F10" s="27">
        <v>19.0</v>
      </c>
      <c r="G10" s="27">
        <f t="shared" si="4"/>
        <v>0</v>
      </c>
      <c r="H10" s="27">
        <v>11.0</v>
      </c>
      <c r="I10" s="27">
        <f t="shared" si="5"/>
        <v>0</v>
      </c>
      <c r="J10" s="27">
        <v>9.0</v>
      </c>
      <c r="K10" s="27">
        <f t="shared" si="6"/>
        <v>0</v>
      </c>
      <c r="L10" s="27">
        <v>22.0</v>
      </c>
      <c r="M10" s="27">
        <f t="shared" si="7"/>
        <v>0</v>
      </c>
      <c r="O10" s="27">
        <f t="shared" si="8"/>
        <v>0</v>
      </c>
      <c r="P10" s="27">
        <v>30.0</v>
      </c>
      <c r="Q10" s="27">
        <f t="shared" si="9"/>
        <v>0</v>
      </c>
      <c r="S10" s="27">
        <v>13.0</v>
      </c>
      <c r="T10" s="27">
        <v>1.0</v>
      </c>
      <c r="U10" s="27">
        <v>1.0</v>
      </c>
      <c r="V10" s="27">
        <v>1.0</v>
      </c>
      <c r="W10" s="27">
        <v>0.0</v>
      </c>
      <c r="X10" s="27">
        <v>0.0</v>
      </c>
      <c r="Y10" s="27">
        <v>1.0</v>
      </c>
      <c r="Z10" s="27">
        <v>1.0</v>
      </c>
      <c r="AA10" s="27">
        <v>0.0</v>
      </c>
      <c r="AC10" s="27">
        <v>13.0</v>
      </c>
      <c r="AD10" s="27">
        <f t="shared" ref="AD10:AK10" si="17">T10/$S$1</f>
        <v>0.01724137931</v>
      </c>
      <c r="AE10" s="27">
        <f t="shared" si="17"/>
        <v>0.01724137931</v>
      </c>
      <c r="AF10" s="27">
        <f t="shared" si="17"/>
        <v>0.01724137931</v>
      </c>
      <c r="AG10" s="27">
        <f t="shared" si="17"/>
        <v>0</v>
      </c>
      <c r="AH10" s="27">
        <f t="shared" si="17"/>
        <v>0</v>
      </c>
      <c r="AI10" s="27">
        <f t="shared" si="17"/>
        <v>0.01724137931</v>
      </c>
      <c r="AJ10" s="27">
        <f t="shared" si="17"/>
        <v>0.01724137931</v>
      </c>
      <c r="AK10" s="27">
        <f t="shared" si="17"/>
        <v>0</v>
      </c>
    </row>
    <row r="11">
      <c r="A11" s="27">
        <v>10.0</v>
      </c>
      <c r="B11" s="27"/>
      <c r="C11" s="27">
        <f t="shared" si="2"/>
        <v>0</v>
      </c>
      <c r="D11" s="27">
        <v>11.0</v>
      </c>
      <c r="E11" s="27">
        <f t="shared" si="3"/>
        <v>0</v>
      </c>
      <c r="F11" s="27">
        <v>21.0</v>
      </c>
      <c r="G11" s="27">
        <f t="shared" si="4"/>
        <v>0</v>
      </c>
      <c r="H11" s="27">
        <v>13.0</v>
      </c>
      <c r="I11" s="27">
        <f t="shared" si="5"/>
        <v>0</v>
      </c>
      <c r="J11" s="27">
        <v>11.0</v>
      </c>
      <c r="K11" s="27">
        <f t="shared" si="6"/>
        <v>0</v>
      </c>
      <c r="L11" s="27">
        <v>22.0</v>
      </c>
      <c r="M11" s="27">
        <f t="shared" si="7"/>
        <v>0</v>
      </c>
      <c r="O11" s="27">
        <f t="shared" si="8"/>
        <v>0</v>
      </c>
      <c r="P11" s="27">
        <v>31.0</v>
      </c>
      <c r="Q11" s="27">
        <f t="shared" si="9"/>
        <v>0</v>
      </c>
      <c r="S11" s="27">
        <v>14.0</v>
      </c>
      <c r="T11" s="27">
        <v>1.0</v>
      </c>
      <c r="U11" s="27">
        <v>1.0</v>
      </c>
      <c r="V11" s="27">
        <v>1.0</v>
      </c>
      <c r="W11" s="27">
        <v>0.0</v>
      </c>
      <c r="X11" s="27">
        <v>0.0</v>
      </c>
      <c r="Y11" s="27">
        <v>1.0</v>
      </c>
      <c r="Z11" s="27">
        <v>1.0</v>
      </c>
      <c r="AA11" s="27">
        <v>1.0</v>
      </c>
      <c r="AC11" s="27">
        <v>14.0</v>
      </c>
      <c r="AD11" s="27">
        <f t="shared" ref="AD11:AK11" si="18">T11/$S$1</f>
        <v>0.01724137931</v>
      </c>
      <c r="AE11" s="27">
        <f t="shared" si="18"/>
        <v>0.01724137931</v>
      </c>
      <c r="AF11" s="27">
        <f t="shared" si="18"/>
        <v>0.01724137931</v>
      </c>
      <c r="AG11" s="27">
        <f t="shared" si="18"/>
        <v>0</v>
      </c>
      <c r="AH11" s="27">
        <f t="shared" si="18"/>
        <v>0</v>
      </c>
      <c r="AI11" s="27">
        <f t="shared" si="18"/>
        <v>0.01724137931</v>
      </c>
      <c r="AJ11" s="27">
        <f t="shared" si="18"/>
        <v>0.01724137931</v>
      </c>
      <c r="AK11" s="27">
        <f t="shared" si="18"/>
        <v>0.01724137931</v>
      </c>
    </row>
    <row r="12">
      <c r="A12" s="27">
        <v>11.0</v>
      </c>
      <c r="B12" s="27"/>
      <c r="C12" s="27">
        <f t="shared" si="2"/>
        <v>0</v>
      </c>
      <c r="D12" s="27">
        <v>13.0</v>
      </c>
      <c r="E12" s="27">
        <f t="shared" si="3"/>
        <v>0</v>
      </c>
      <c r="F12" s="27">
        <v>23.0</v>
      </c>
      <c r="G12" s="27">
        <f t="shared" si="4"/>
        <v>0</v>
      </c>
      <c r="H12" s="27">
        <v>14.0</v>
      </c>
      <c r="I12" s="27">
        <f t="shared" si="5"/>
        <v>0</v>
      </c>
      <c r="J12" s="27">
        <v>11.0</v>
      </c>
      <c r="K12" s="27">
        <f t="shared" si="6"/>
        <v>0</v>
      </c>
      <c r="L12" s="27">
        <v>2.0</v>
      </c>
      <c r="M12" s="27">
        <f t="shared" si="7"/>
        <v>0</v>
      </c>
      <c r="O12" s="27">
        <f t="shared" si="8"/>
        <v>0</v>
      </c>
      <c r="P12" s="27">
        <v>25.0</v>
      </c>
      <c r="Q12" s="27">
        <f t="shared" si="9"/>
        <v>0</v>
      </c>
      <c r="S12" s="27">
        <v>15.0</v>
      </c>
      <c r="T12" s="27">
        <v>2.0</v>
      </c>
      <c r="U12" s="27">
        <v>2.0</v>
      </c>
      <c r="V12" s="27">
        <v>2.0</v>
      </c>
      <c r="W12" s="27">
        <v>0.0</v>
      </c>
      <c r="X12" s="27">
        <v>0.0</v>
      </c>
      <c r="Y12" s="27">
        <v>1.0</v>
      </c>
      <c r="Z12" s="27">
        <v>2.0</v>
      </c>
      <c r="AA12" s="27">
        <v>0.0</v>
      </c>
      <c r="AC12" s="27">
        <v>15.0</v>
      </c>
      <c r="AD12" s="27">
        <f t="shared" ref="AD12:AK12" si="19">T12/$S$1</f>
        <v>0.03448275862</v>
      </c>
      <c r="AE12" s="27">
        <f t="shared" si="19"/>
        <v>0.03448275862</v>
      </c>
      <c r="AF12" s="27">
        <f t="shared" si="19"/>
        <v>0.03448275862</v>
      </c>
      <c r="AG12" s="27">
        <f t="shared" si="19"/>
        <v>0</v>
      </c>
      <c r="AH12" s="27">
        <f t="shared" si="19"/>
        <v>0</v>
      </c>
      <c r="AI12" s="27">
        <f t="shared" si="19"/>
        <v>0.01724137931</v>
      </c>
      <c r="AJ12" s="27">
        <f t="shared" si="19"/>
        <v>0.03448275862</v>
      </c>
      <c r="AK12" s="27">
        <f t="shared" si="19"/>
        <v>0</v>
      </c>
    </row>
    <row r="13">
      <c r="A13" s="27">
        <v>11.0</v>
      </c>
      <c r="B13" s="27"/>
      <c r="C13" s="27">
        <f t="shared" si="2"/>
        <v>0</v>
      </c>
      <c r="D13" s="27">
        <v>14.0</v>
      </c>
      <c r="E13" s="27">
        <f t="shared" si="3"/>
        <v>0</v>
      </c>
      <c r="F13" s="27">
        <v>15.0</v>
      </c>
      <c r="G13" s="27">
        <f t="shared" si="4"/>
        <v>0</v>
      </c>
      <c r="H13" s="27">
        <v>15.0</v>
      </c>
      <c r="I13" s="27">
        <f t="shared" si="5"/>
        <v>0</v>
      </c>
      <c r="J13" s="27">
        <v>13.0</v>
      </c>
      <c r="K13" s="27">
        <f t="shared" si="6"/>
        <v>0</v>
      </c>
      <c r="L13" s="27">
        <v>65.0</v>
      </c>
      <c r="M13" s="27">
        <f t="shared" si="7"/>
        <v>0</v>
      </c>
      <c r="O13" s="27">
        <f t="shared" si="8"/>
        <v>0</v>
      </c>
      <c r="P13" s="27">
        <v>37.0</v>
      </c>
      <c r="Q13" s="27">
        <f t="shared" si="9"/>
        <v>0</v>
      </c>
      <c r="S13" s="27">
        <v>16.0</v>
      </c>
      <c r="T13" s="27">
        <v>2.0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0.0</v>
      </c>
      <c r="AC13" s="27">
        <v>16.0</v>
      </c>
      <c r="AD13" s="27">
        <f t="shared" ref="AD13:AK13" si="20">T13/$S$1</f>
        <v>0.03448275862</v>
      </c>
      <c r="AE13" s="27">
        <f t="shared" si="20"/>
        <v>0</v>
      </c>
      <c r="AF13" s="27">
        <f t="shared" si="20"/>
        <v>0</v>
      </c>
      <c r="AG13" s="27">
        <f t="shared" si="20"/>
        <v>0</v>
      </c>
      <c r="AH13" s="27">
        <f t="shared" si="20"/>
        <v>0</v>
      </c>
      <c r="AI13" s="27">
        <f t="shared" si="20"/>
        <v>0</v>
      </c>
      <c r="AJ13" s="27">
        <f t="shared" si="20"/>
        <v>0</v>
      </c>
      <c r="AK13" s="27">
        <f t="shared" si="20"/>
        <v>0</v>
      </c>
    </row>
    <row r="14">
      <c r="A14" s="27">
        <v>13.0</v>
      </c>
      <c r="B14" s="27"/>
      <c r="C14" s="27">
        <f t="shared" si="2"/>
        <v>0</v>
      </c>
      <c r="D14" s="27">
        <v>19.0</v>
      </c>
      <c r="E14" s="27">
        <f t="shared" si="3"/>
        <v>0</v>
      </c>
      <c r="F14" s="27">
        <v>25.0</v>
      </c>
      <c r="G14" s="27">
        <f t="shared" si="4"/>
        <v>0</v>
      </c>
      <c r="H14" s="27">
        <v>20.0</v>
      </c>
      <c r="I14" s="27">
        <f t="shared" si="5"/>
        <v>0</v>
      </c>
      <c r="J14" s="27">
        <v>14.0</v>
      </c>
      <c r="K14" s="27">
        <f t="shared" si="6"/>
        <v>0</v>
      </c>
      <c r="L14" s="27">
        <v>2.0</v>
      </c>
      <c r="M14" s="27">
        <f t="shared" si="7"/>
        <v>0</v>
      </c>
      <c r="O14" s="27">
        <f t="shared" si="8"/>
        <v>0</v>
      </c>
      <c r="P14" s="27">
        <v>38.0</v>
      </c>
      <c r="Q14" s="27">
        <f t="shared" si="9"/>
        <v>0</v>
      </c>
      <c r="S14" s="27">
        <v>17.0</v>
      </c>
      <c r="T14" s="27">
        <v>1.0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0.0</v>
      </c>
      <c r="AC14" s="27">
        <v>17.0</v>
      </c>
      <c r="AD14" s="27">
        <f t="shared" ref="AD14:AK14" si="21">T14/$S$1</f>
        <v>0.01724137931</v>
      </c>
      <c r="AE14" s="27">
        <f t="shared" si="21"/>
        <v>0</v>
      </c>
      <c r="AF14" s="27">
        <f t="shared" si="21"/>
        <v>0</v>
      </c>
      <c r="AG14" s="27">
        <f t="shared" si="21"/>
        <v>0</v>
      </c>
      <c r="AH14" s="27">
        <f t="shared" si="21"/>
        <v>0</v>
      </c>
      <c r="AI14" s="27">
        <f t="shared" si="21"/>
        <v>0</v>
      </c>
      <c r="AJ14" s="27">
        <f t="shared" si="21"/>
        <v>0</v>
      </c>
      <c r="AK14" s="27">
        <f t="shared" si="21"/>
        <v>0</v>
      </c>
    </row>
    <row r="15">
      <c r="A15" s="27">
        <v>14.0</v>
      </c>
      <c r="B15" s="27"/>
      <c r="C15" s="27">
        <f t="shared" si="2"/>
        <v>0</v>
      </c>
      <c r="D15" s="27">
        <v>20.0</v>
      </c>
      <c r="E15" s="27">
        <f t="shared" si="3"/>
        <v>0</v>
      </c>
      <c r="F15" s="27">
        <v>26.0</v>
      </c>
      <c r="G15" s="27">
        <f t="shared" si="4"/>
        <v>0</v>
      </c>
      <c r="H15" s="27">
        <v>21.0</v>
      </c>
      <c r="I15" s="27">
        <f t="shared" si="5"/>
        <v>0</v>
      </c>
      <c r="J15" s="27">
        <v>15.0</v>
      </c>
      <c r="K15" s="27">
        <f t="shared" si="6"/>
        <v>0</v>
      </c>
      <c r="L15" s="27">
        <v>67.0</v>
      </c>
      <c r="M15" s="27">
        <f t="shared" si="7"/>
        <v>0</v>
      </c>
      <c r="O15" s="27">
        <f t="shared" si="8"/>
        <v>0</v>
      </c>
      <c r="P15" s="27">
        <v>39.0</v>
      </c>
      <c r="Q15" s="27">
        <f t="shared" si="9"/>
        <v>0</v>
      </c>
      <c r="S15" s="27">
        <v>19.0</v>
      </c>
      <c r="T15" s="27">
        <v>6.0</v>
      </c>
      <c r="U15" s="27">
        <v>0.0</v>
      </c>
      <c r="V15" s="27">
        <v>3.0</v>
      </c>
      <c r="W15" s="27">
        <v>0.0</v>
      </c>
      <c r="X15" s="27">
        <v>0.0</v>
      </c>
      <c r="Y15" s="27">
        <v>3.0</v>
      </c>
      <c r="Z15" s="27">
        <v>4.0</v>
      </c>
      <c r="AA15" s="27">
        <v>0.0</v>
      </c>
      <c r="AC15" s="27">
        <v>19.0</v>
      </c>
      <c r="AD15" s="27">
        <f t="shared" ref="AD15:AK15" si="22">T15/$S$1</f>
        <v>0.1034482759</v>
      </c>
      <c r="AE15" s="27">
        <f t="shared" si="22"/>
        <v>0</v>
      </c>
      <c r="AF15" s="27">
        <f t="shared" si="22"/>
        <v>0.05172413793</v>
      </c>
      <c r="AG15" s="27">
        <f t="shared" si="22"/>
        <v>0</v>
      </c>
      <c r="AH15" s="27">
        <f t="shared" si="22"/>
        <v>0</v>
      </c>
      <c r="AI15" s="27">
        <f t="shared" si="22"/>
        <v>0.05172413793</v>
      </c>
      <c r="AJ15" s="27">
        <f t="shared" si="22"/>
        <v>0.06896551724</v>
      </c>
      <c r="AK15" s="27">
        <f t="shared" si="22"/>
        <v>0</v>
      </c>
    </row>
    <row r="16">
      <c r="A16" s="27">
        <v>15.0</v>
      </c>
      <c r="B16" s="27"/>
      <c r="C16" s="27">
        <f t="shared" si="2"/>
        <v>0</v>
      </c>
      <c r="D16" s="27">
        <v>21.0</v>
      </c>
      <c r="E16" s="27">
        <f t="shared" si="3"/>
        <v>0</v>
      </c>
      <c r="F16" s="27">
        <v>29.0</v>
      </c>
      <c r="G16" s="27">
        <f t="shared" si="4"/>
        <v>0</v>
      </c>
      <c r="H16" s="27">
        <v>22.0</v>
      </c>
      <c r="I16" s="27">
        <f t="shared" si="5"/>
        <v>0</v>
      </c>
      <c r="J16" s="27">
        <v>19.0</v>
      </c>
      <c r="K16" s="27">
        <f t="shared" si="6"/>
        <v>0</v>
      </c>
      <c r="L16" s="27">
        <v>25.0</v>
      </c>
      <c r="M16" s="27">
        <f t="shared" si="7"/>
        <v>0</v>
      </c>
      <c r="O16" s="27">
        <f t="shared" si="8"/>
        <v>0</v>
      </c>
      <c r="P16" s="27">
        <v>29.0</v>
      </c>
      <c r="Q16" s="27">
        <f t="shared" si="9"/>
        <v>0</v>
      </c>
      <c r="S16" s="27">
        <v>20.0</v>
      </c>
      <c r="T16" s="27">
        <v>2.0</v>
      </c>
      <c r="U16" s="27">
        <v>2.0</v>
      </c>
      <c r="V16" s="27">
        <v>2.0</v>
      </c>
      <c r="W16" s="27">
        <v>0.0</v>
      </c>
      <c r="X16" s="27">
        <v>1.0</v>
      </c>
      <c r="Y16" s="27">
        <v>2.0</v>
      </c>
      <c r="Z16" s="27">
        <v>0.0</v>
      </c>
      <c r="AA16" s="27">
        <v>0.0</v>
      </c>
      <c r="AC16" s="27">
        <v>20.0</v>
      </c>
      <c r="AD16" s="27">
        <f t="shared" ref="AD16:AK16" si="23">T16/$S$1</f>
        <v>0.03448275862</v>
      </c>
      <c r="AE16" s="27">
        <f t="shared" si="23"/>
        <v>0.03448275862</v>
      </c>
      <c r="AF16" s="27">
        <f t="shared" si="23"/>
        <v>0.03448275862</v>
      </c>
      <c r="AG16" s="27">
        <f t="shared" si="23"/>
        <v>0</v>
      </c>
      <c r="AH16" s="27">
        <f t="shared" si="23"/>
        <v>0.01724137931</v>
      </c>
      <c r="AI16" s="27">
        <f t="shared" si="23"/>
        <v>0.03448275862</v>
      </c>
      <c r="AJ16" s="27">
        <f t="shared" si="23"/>
        <v>0</v>
      </c>
      <c r="AK16" s="27">
        <f t="shared" si="23"/>
        <v>0</v>
      </c>
    </row>
    <row r="17">
      <c r="A17" s="27">
        <v>16.0</v>
      </c>
      <c r="B17" s="27"/>
      <c r="C17" s="27">
        <f t="shared" si="2"/>
        <v>0</v>
      </c>
      <c r="D17" s="27">
        <v>22.0</v>
      </c>
      <c r="E17" s="27">
        <f t="shared" si="3"/>
        <v>0</v>
      </c>
      <c r="F17" s="27">
        <v>30.0</v>
      </c>
      <c r="G17" s="27">
        <f t="shared" si="4"/>
        <v>0</v>
      </c>
      <c r="H17" s="27">
        <v>15.0</v>
      </c>
      <c r="I17" s="27">
        <f t="shared" si="5"/>
        <v>0</v>
      </c>
      <c r="J17" s="27">
        <v>20.0</v>
      </c>
      <c r="K17" s="27">
        <f t="shared" si="6"/>
        <v>0</v>
      </c>
      <c r="L17" s="27">
        <v>20.0</v>
      </c>
      <c r="M17" s="27">
        <f t="shared" si="7"/>
        <v>0</v>
      </c>
      <c r="O17" s="27">
        <f t="shared" si="8"/>
        <v>0</v>
      </c>
      <c r="P17" s="27">
        <v>42.0</v>
      </c>
      <c r="Q17" s="27">
        <f t="shared" si="9"/>
        <v>0</v>
      </c>
      <c r="S17" s="27">
        <v>21.0</v>
      </c>
      <c r="T17" s="27">
        <v>2.0</v>
      </c>
      <c r="U17" s="27">
        <v>2.0</v>
      </c>
      <c r="V17" s="27">
        <v>2.0</v>
      </c>
      <c r="W17" s="27">
        <v>0.0</v>
      </c>
      <c r="X17" s="27">
        <v>0.0</v>
      </c>
      <c r="Y17" s="27">
        <v>2.0</v>
      </c>
      <c r="Z17" s="27">
        <v>2.0</v>
      </c>
      <c r="AA17" s="27">
        <v>1.0</v>
      </c>
      <c r="AC17" s="27">
        <v>21.0</v>
      </c>
      <c r="AD17" s="27">
        <f t="shared" ref="AD17:AK17" si="24">T17/$S$1</f>
        <v>0.03448275862</v>
      </c>
      <c r="AE17" s="27">
        <f t="shared" si="24"/>
        <v>0.03448275862</v>
      </c>
      <c r="AF17" s="27">
        <f t="shared" si="24"/>
        <v>0.03448275862</v>
      </c>
      <c r="AG17" s="27">
        <f t="shared" si="24"/>
        <v>0</v>
      </c>
      <c r="AH17" s="27">
        <f t="shared" si="24"/>
        <v>0</v>
      </c>
      <c r="AI17" s="27">
        <f t="shared" si="24"/>
        <v>0.03448275862</v>
      </c>
      <c r="AJ17" s="27">
        <f t="shared" si="24"/>
        <v>0.03448275862</v>
      </c>
      <c r="AK17" s="27">
        <f t="shared" si="24"/>
        <v>0.01724137931</v>
      </c>
    </row>
    <row r="18">
      <c r="A18" s="27">
        <v>17.0</v>
      </c>
      <c r="B18" s="27"/>
      <c r="C18" s="27">
        <f t="shared" si="2"/>
        <v>0</v>
      </c>
      <c r="D18" s="27">
        <v>23.0</v>
      </c>
      <c r="E18" s="27">
        <f t="shared" si="3"/>
        <v>0</v>
      </c>
      <c r="F18" s="27">
        <v>31.0</v>
      </c>
      <c r="G18" s="27">
        <f t="shared" si="4"/>
        <v>0</v>
      </c>
      <c r="H18" s="27">
        <v>25.0</v>
      </c>
      <c r="I18" s="27">
        <f t="shared" si="5"/>
        <v>0</v>
      </c>
      <c r="J18" s="27">
        <v>21.0</v>
      </c>
      <c r="K18" s="27">
        <f t="shared" si="6"/>
        <v>0</v>
      </c>
      <c r="L18" s="27">
        <v>45.0</v>
      </c>
      <c r="M18" s="27">
        <f t="shared" si="7"/>
        <v>0</v>
      </c>
      <c r="O18" s="27">
        <f t="shared" si="8"/>
        <v>0</v>
      </c>
      <c r="P18" s="27">
        <v>45.0</v>
      </c>
      <c r="Q18" s="27">
        <f t="shared" si="9"/>
        <v>0</v>
      </c>
      <c r="S18" s="27">
        <v>22.0</v>
      </c>
      <c r="T18" s="27">
        <v>3.0</v>
      </c>
      <c r="U18" s="27">
        <v>3.0</v>
      </c>
      <c r="V18" s="27">
        <v>3.0</v>
      </c>
      <c r="W18" s="27">
        <v>0.0</v>
      </c>
      <c r="X18" s="27">
        <v>2.0</v>
      </c>
      <c r="Y18" s="27">
        <v>3.0</v>
      </c>
      <c r="Z18" s="27">
        <v>0.0</v>
      </c>
      <c r="AA18" s="27">
        <v>0.0</v>
      </c>
      <c r="AC18" s="27">
        <v>22.0</v>
      </c>
      <c r="AD18" s="27">
        <f t="shared" ref="AD18:AK18" si="25">T18/$S$1</f>
        <v>0.05172413793</v>
      </c>
      <c r="AE18" s="27">
        <f t="shared" si="25"/>
        <v>0.05172413793</v>
      </c>
      <c r="AF18" s="27">
        <f t="shared" si="25"/>
        <v>0.05172413793</v>
      </c>
      <c r="AG18" s="27">
        <f t="shared" si="25"/>
        <v>0</v>
      </c>
      <c r="AH18" s="27">
        <f t="shared" si="25"/>
        <v>0.03448275862</v>
      </c>
      <c r="AI18" s="27">
        <f t="shared" si="25"/>
        <v>0.05172413793</v>
      </c>
      <c r="AJ18" s="27">
        <f t="shared" si="25"/>
        <v>0</v>
      </c>
      <c r="AK18" s="27">
        <f t="shared" si="25"/>
        <v>0</v>
      </c>
    </row>
    <row r="19">
      <c r="A19" s="27">
        <v>16.0</v>
      </c>
      <c r="B19" s="27"/>
      <c r="C19" s="27">
        <f t="shared" si="2"/>
        <v>0</v>
      </c>
      <c r="D19" s="27">
        <v>15.0</v>
      </c>
      <c r="E19" s="27">
        <f t="shared" si="3"/>
        <v>0</v>
      </c>
      <c r="F19" s="27">
        <v>25.0</v>
      </c>
      <c r="G19" s="27">
        <f t="shared" si="4"/>
        <v>0</v>
      </c>
      <c r="H19" s="27">
        <v>26.0</v>
      </c>
      <c r="I19" s="27">
        <f t="shared" si="5"/>
        <v>0</v>
      </c>
      <c r="J19" s="27">
        <v>22.0</v>
      </c>
      <c r="K19" s="27">
        <f t="shared" si="6"/>
        <v>0</v>
      </c>
      <c r="L19" s="27">
        <v>45.0</v>
      </c>
      <c r="M19" s="27">
        <f t="shared" si="7"/>
        <v>0</v>
      </c>
      <c r="O19" s="27">
        <f t="shared" si="8"/>
        <v>0</v>
      </c>
      <c r="P19" s="27">
        <v>25.0</v>
      </c>
      <c r="Q19" s="27">
        <f t="shared" si="9"/>
        <v>0</v>
      </c>
      <c r="S19" s="27">
        <v>23.0</v>
      </c>
      <c r="T19" s="27">
        <v>1.0</v>
      </c>
      <c r="U19" s="27">
        <v>0.0</v>
      </c>
      <c r="V19" s="27">
        <v>1.0</v>
      </c>
      <c r="W19" s="27">
        <v>0.0</v>
      </c>
      <c r="X19" s="27">
        <v>0.0</v>
      </c>
      <c r="Y19" s="27">
        <v>1.0</v>
      </c>
      <c r="Z19" s="27">
        <v>1.0</v>
      </c>
      <c r="AA19" s="27">
        <v>0.0</v>
      </c>
      <c r="AC19" s="27">
        <v>23.0</v>
      </c>
      <c r="AD19" s="27">
        <f t="shared" ref="AD19:AK19" si="26">T19/$S$1</f>
        <v>0.01724137931</v>
      </c>
      <c r="AE19" s="27">
        <f t="shared" si="26"/>
        <v>0</v>
      </c>
      <c r="AF19" s="27">
        <f t="shared" si="26"/>
        <v>0.01724137931</v>
      </c>
      <c r="AG19" s="27">
        <f t="shared" si="26"/>
        <v>0</v>
      </c>
      <c r="AH19" s="27">
        <f t="shared" si="26"/>
        <v>0</v>
      </c>
      <c r="AI19" s="27">
        <f t="shared" si="26"/>
        <v>0.01724137931</v>
      </c>
      <c r="AJ19" s="27">
        <f t="shared" si="26"/>
        <v>0.01724137931</v>
      </c>
      <c r="AK19" s="27">
        <f t="shared" si="26"/>
        <v>0</v>
      </c>
    </row>
    <row r="20">
      <c r="A20" s="27">
        <v>19.0</v>
      </c>
      <c r="B20" s="27"/>
      <c r="C20" s="27">
        <f t="shared" si="2"/>
        <v>0</v>
      </c>
      <c r="D20" s="27">
        <v>25.0</v>
      </c>
      <c r="E20" s="27">
        <f t="shared" si="3"/>
        <v>0</v>
      </c>
      <c r="F20" s="27">
        <v>10.0</v>
      </c>
      <c r="G20" s="27">
        <f t="shared" si="4"/>
        <v>0</v>
      </c>
      <c r="H20" s="27">
        <v>29.0</v>
      </c>
      <c r="I20" s="27">
        <f t="shared" si="5"/>
        <v>0</v>
      </c>
      <c r="J20" s="27">
        <v>23.0</v>
      </c>
      <c r="K20" s="27">
        <f t="shared" si="6"/>
        <v>0</v>
      </c>
      <c r="L20" s="27">
        <v>91.0</v>
      </c>
      <c r="M20" s="27">
        <f t="shared" si="7"/>
        <v>0</v>
      </c>
      <c r="O20" s="27">
        <f t="shared" si="8"/>
        <v>0</v>
      </c>
      <c r="P20" s="27">
        <v>25.0</v>
      </c>
      <c r="Q20" s="27">
        <f t="shared" si="9"/>
        <v>0</v>
      </c>
      <c r="S20" s="27">
        <v>25.0</v>
      </c>
      <c r="T20" s="27">
        <v>12.0</v>
      </c>
      <c r="U20" s="27">
        <v>12.0</v>
      </c>
      <c r="V20" s="27">
        <v>11.0</v>
      </c>
      <c r="W20" s="27">
        <v>0.0</v>
      </c>
      <c r="X20" s="27">
        <v>1.0</v>
      </c>
      <c r="Y20" s="27">
        <v>12.0</v>
      </c>
      <c r="Z20" s="27">
        <v>8.0</v>
      </c>
      <c r="AA20" s="27">
        <v>9.0</v>
      </c>
      <c r="AC20" s="27">
        <v>25.0</v>
      </c>
      <c r="AD20" s="27">
        <f t="shared" ref="AD20:AK20" si="27">T20/$S$1</f>
        <v>0.2068965517</v>
      </c>
      <c r="AE20" s="27">
        <f t="shared" si="27"/>
        <v>0.2068965517</v>
      </c>
      <c r="AF20" s="27">
        <f t="shared" si="27"/>
        <v>0.1896551724</v>
      </c>
      <c r="AG20" s="27">
        <f t="shared" si="27"/>
        <v>0</v>
      </c>
      <c r="AH20" s="27">
        <f t="shared" si="27"/>
        <v>0.01724137931</v>
      </c>
      <c r="AI20" s="27">
        <f t="shared" si="27"/>
        <v>0.2068965517</v>
      </c>
      <c r="AJ20" s="27">
        <f t="shared" si="27"/>
        <v>0.1379310345</v>
      </c>
      <c r="AK20" s="27">
        <f t="shared" si="27"/>
        <v>0.1551724138</v>
      </c>
    </row>
    <row r="21" ht="15.75" customHeight="1">
      <c r="A21" s="27">
        <v>20.0</v>
      </c>
      <c r="B21" s="27"/>
      <c r="C21" s="27">
        <f t="shared" si="2"/>
        <v>0</v>
      </c>
      <c r="D21" s="27">
        <v>26.0</v>
      </c>
      <c r="E21" s="27">
        <f t="shared" si="3"/>
        <v>0</v>
      </c>
      <c r="F21" s="27">
        <v>37.0</v>
      </c>
      <c r="G21" s="27">
        <f t="shared" si="4"/>
        <v>0</v>
      </c>
      <c r="H21" s="27">
        <v>30.0</v>
      </c>
      <c r="I21" s="27">
        <f t="shared" si="5"/>
        <v>0</v>
      </c>
      <c r="J21" s="27">
        <v>15.0</v>
      </c>
      <c r="K21" s="27">
        <f t="shared" si="6"/>
        <v>0</v>
      </c>
      <c r="L21" s="27">
        <v>93.0</v>
      </c>
      <c r="M21" s="27">
        <f t="shared" si="7"/>
        <v>0</v>
      </c>
      <c r="O21" s="27">
        <f t="shared" si="8"/>
        <v>0</v>
      </c>
      <c r="P21" s="27">
        <v>35.0</v>
      </c>
      <c r="Q21" s="27">
        <f t="shared" si="9"/>
        <v>0</v>
      </c>
      <c r="S21" s="27">
        <v>26.0</v>
      </c>
      <c r="T21" s="27">
        <v>1.0</v>
      </c>
      <c r="U21" s="27">
        <v>1.0</v>
      </c>
      <c r="V21" s="27">
        <v>1.0</v>
      </c>
      <c r="W21" s="27">
        <v>0.0</v>
      </c>
      <c r="X21" s="27">
        <v>0.0</v>
      </c>
      <c r="Y21" s="27">
        <v>1.0</v>
      </c>
      <c r="Z21" s="27">
        <v>1.0</v>
      </c>
      <c r="AA21" s="27">
        <v>1.0</v>
      </c>
      <c r="AC21" s="27">
        <v>26.0</v>
      </c>
      <c r="AD21" s="27">
        <f t="shared" ref="AD21:AK21" si="28">T21/$S$1</f>
        <v>0.01724137931</v>
      </c>
      <c r="AE21" s="27">
        <f t="shared" si="28"/>
        <v>0.01724137931</v>
      </c>
      <c r="AF21" s="27">
        <f t="shared" si="28"/>
        <v>0.01724137931</v>
      </c>
      <c r="AG21" s="27">
        <f t="shared" si="28"/>
        <v>0</v>
      </c>
      <c r="AH21" s="27">
        <f t="shared" si="28"/>
        <v>0</v>
      </c>
      <c r="AI21" s="27">
        <f t="shared" si="28"/>
        <v>0.01724137931</v>
      </c>
      <c r="AJ21" s="27">
        <f t="shared" si="28"/>
        <v>0.01724137931</v>
      </c>
      <c r="AK21" s="27">
        <f t="shared" si="28"/>
        <v>0.01724137931</v>
      </c>
    </row>
    <row r="22" ht="15.75" customHeight="1">
      <c r="A22" s="27">
        <v>21.0</v>
      </c>
      <c r="B22" s="27"/>
      <c r="C22" s="27">
        <f t="shared" si="2"/>
        <v>0</v>
      </c>
      <c r="D22" s="27">
        <v>29.0</v>
      </c>
      <c r="E22" s="27">
        <f t="shared" si="3"/>
        <v>0</v>
      </c>
      <c r="F22" s="27">
        <v>38.0</v>
      </c>
      <c r="G22" s="27">
        <f t="shared" si="4"/>
        <v>0</v>
      </c>
      <c r="H22" s="27">
        <v>31.0</v>
      </c>
      <c r="I22" s="27">
        <f t="shared" si="5"/>
        <v>0</v>
      </c>
      <c r="J22" s="27">
        <v>25.0</v>
      </c>
      <c r="K22" s="27">
        <f t="shared" si="6"/>
        <v>0</v>
      </c>
      <c r="L22" s="27">
        <v>1.0</v>
      </c>
      <c r="M22" s="27">
        <f t="shared" si="7"/>
        <v>0</v>
      </c>
      <c r="O22" s="27">
        <f t="shared" si="8"/>
        <v>0</v>
      </c>
      <c r="P22" s="27">
        <v>60.0</v>
      </c>
      <c r="Q22" s="27">
        <f t="shared" si="9"/>
        <v>0</v>
      </c>
      <c r="S22" s="27">
        <v>27.0</v>
      </c>
      <c r="T22" s="27">
        <v>1.0</v>
      </c>
      <c r="U22" s="27">
        <v>0.0</v>
      </c>
      <c r="V22" s="27">
        <v>1.0</v>
      </c>
      <c r="W22" s="27">
        <v>0.0</v>
      </c>
      <c r="X22" s="27">
        <v>0.0</v>
      </c>
      <c r="Y22" s="27">
        <v>0.0</v>
      </c>
      <c r="Z22" s="27">
        <v>0.0</v>
      </c>
      <c r="AA22" s="27">
        <v>0.0</v>
      </c>
      <c r="AC22" s="27">
        <v>27.0</v>
      </c>
      <c r="AD22" s="27">
        <f t="shared" ref="AD22:AK22" si="29">T22/$S$1</f>
        <v>0.01724137931</v>
      </c>
      <c r="AE22" s="27">
        <f t="shared" si="29"/>
        <v>0</v>
      </c>
      <c r="AF22" s="27">
        <f t="shared" si="29"/>
        <v>0.01724137931</v>
      </c>
      <c r="AG22" s="27">
        <f t="shared" si="29"/>
        <v>0</v>
      </c>
      <c r="AH22" s="27">
        <f t="shared" si="29"/>
        <v>0</v>
      </c>
      <c r="AI22" s="27">
        <f t="shared" si="29"/>
        <v>0</v>
      </c>
      <c r="AJ22" s="27">
        <f t="shared" si="29"/>
        <v>0</v>
      </c>
      <c r="AK22" s="27">
        <f t="shared" si="29"/>
        <v>0</v>
      </c>
    </row>
    <row r="23" ht="15.75" customHeight="1">
      <c r="A23" s="27">
        <v>22.0</v>
      </c>
      <c r="B23" s="27"/>
      <c r="C23" s="27">
        <f t="shared" si="2"/>
        <v>0</v>
      </c>
      <c r="D23" s="27">
        <v>30.0</v>
      </c>
      <c r="E23" s="27">
        <f t="shared" si="3"/>
        <v>0</v>
      </c>
      <c r="F23" s="27">
        <v>39.0</v>
      </c>
      <c r="G23" s="27">
        <f t="shared" si="4"/>
        <v>0</v>
      </c>
      <c r="H23" s="27">
        <v>32.0</v>
      </c>
      <c r="I23" s="27">
        <f t="shared" si="5"/>
        <v>0</v>
      </c>
      <c r="J23" s="27">
        <v>26.0</v>
      </c>
      <c r="K23" s="27">
        <f t="shared" si="6"/>
        <v>0</v>
      </c>
      <c r="L23" s="27">
        <v>95.0</v>
      </c>
      <c r="M23" s="27">
        <f t="shared" si="7"/>
        <v>0</v>
      </c>
      <c r="O23" s="27">
        <f t="shared" si="8"/>
        <v>0</v>
      </c>
      <c r="P23" s="27">
        <v>25.0</v>
      </c>
      <c r="Q23" s="27">
        <f t="shared" si="9"/>
        <v>0</v>
      </c>
      <c r="S23" s="27">
        <v>28.0</v>
      </c>
      <c r="T23" s="27">
        <v>1.0</v>
      </c>
      <c r="U23" s="27">
        <v>0.0</v>
      </c>
      <c r="V23" s="27">
        <v>1.0</v>
      </c>
      <c r="W23" s="27">
        <v>0.0</v>
      </c>
      <c r="X23" s="27">
        <v>1.0</v>
      </c>
      <c r="Y23" s="27">
        <v>0.0</v>
      </c>
      <c r="Z23" s="27">
        <v>0.0</v>
      </c>
      <c r="AA23" s="27">
        <v>0.0</v>
      </c>
      <c r="AC23" s="27">
        <v>28.0</v>
      </c>
      <c r="AD23" s="27">
        <f t="shared" ref="AD23:AK23" si="30">T23/$S$1</f>
        <v>0.01724137931</v>
      </c>
      <c r="AE23" s="27">
        <f t="shared" si="30"/>
        <v>0</v>
      </c>
      <c r="AF23" s="27">
        <f t="shared" si="30"/>
        <v>0.01724137931</v>
      </c>
      <c r="AG23" s="27">
        <f t="shared" si="30"/>
        <v>0</v>
      </c>
      <c r="AH23" s="27">
        <f t="shared" si="30"/>
        <v>0.01724137931</v>
      </c>
      <c r="AI23" s="27">
        <f t="shared" si="30"/>
        <v>0</v>
      </c>
      <c r="AJ23" s="27">
        <f t="shared" si="30"/>
        <v>0</v>
      </c>
      <c r="AK23" s="27">
        <f t="shared" si="30"/>
        <v>0</v>
      </c>
    </row>
    <row r="24" ht="15.75" customHeight="1">
      <c r="A24" s="27">
        <v>23.0</v>
      </c>
      <c r="B24" s="27"/>
      <c r="C24" s="27">
        <f t="shared" si="2"/>
        <v>0</v>
      </c>
      <c r="D24" s="27">
        <v>31.0</v>
      </c>
      <c r="E24" s="27">
        <f t="shared" si="3"/>
        <v>0</v>
      </c>
      <c r="F24" s="27">
        <v>29.0</v>
      </c>
      <c r="G24" s="27">
        <f t="shared" si="4"/>
        <v>0</v>
      </c>
      <c r="H24" s="27">
        <v>25.0</v>
      </c>
      <c r="I24" s="27">
        <f t="shared" si="5"/>
        <v>0</v>
      </c>
      <c r="J24" s="27">
        <v>27.0</v>
      </c>
      <c r="K24" s="27">
        <f t="shared" si="6"/>
        <v>0</v>
      </c>
      <c r="L24" s="27">
        <v>96.0</v>
      </c>
      <c r="M24" s="27">
        <f t="shared" si="7"/>
        <v>0</v>
      </c>
      <c r="O24" s="27">
        <f t="shared" si="8"/>
        <v>0</v>
      </c>
      <c r="P24" s="27">
        <v>65.0</v>
      </c>
      <c r="Q24" s="27">
        <f t="shared" si="9"/>
        <v>0</v>
      </c>
      <c r="S24" s="27">
        <v>29.0</v>
      </c>
      <c r="T24" s="27">
        <v>3.0</v>
      </c>
      <c r="U24" s="27">
        <v>3.0</v>
      </c>
      <c r="V24" s="27">
        <v>3.0</v>
      </c>
      <c r="W24" s="27">
        <v>0.0</v>
      </c>
      <c r="X24" s="27">
        <v>0.0</v>
      </c>
      <c r="Y24" s="27">
        <v>3.0</v>
      </c>
      <c r="Z24" s="27">
        <v>3.0</v>
      </c>
      <c r="AA24" s="27">
        <v>3.0</v>
      </c>
      <c r="AC24" s="27">
        <v>29.0</v>
      </c>
      <c r="AD24" s="27">
        <f t="shared" ref="AD24:AK24" si="31">T24/$S$1</f>
        <v>0.05172413793</v>
      </c>
      <c r="AE24" s="27">
        <f t="shared" si="31"/>
        <v>0.05172413793</v>
      </c>
      <c r="AF24" s="27">
        <f t="shared" si="31"/>
        <v>0.05172413793</v>
      </c>
      <c r="AG24" s="27">
        <f t="shared" si="31"/>
        <v>0</v>
      </c>
      <c r="AH24" s="27">
        <f t="shared" si="31"/>
        <v>0</v>
      </c>
      <c r="AI24" s="27">
        <f t="shared" si="31"/>
        <v>0.05172413793</v>
      </c>
      <c r="AJ24" s="27">
        <f t="shared" si="31"/>
        <v>0.05172413793</v>
      </c>
      <c r="AK24" s="27">
        <f t="shared" si="31"/>
        <v>0.05172413793</v>
      </c>
    </row>
    <row r="25" ht="15.75" customHeight="1">
      <c r="A25" s="27">
        <v>15.0</v>
      </c>
      <c r="B25" s="27"/>
      <c r="C25" s="27">
        <f t="shared" si="2"/>
        <v>0</v>
      </c>
      <c r="D25" s="27">
        <v>32.0</v>
      </c>
      <c r="E25" s="27">
        <f t="shared" si="3"/>
        <v>0</v>
      </c>
      <c r="F25" s="27">
        <v>42.0</v>
      </c>
      <c r="G25" s="27">
        <f t="shared" si="4"/>
        <v>0</v>
      </c>
      <c r="H25" s="27">
        <v>25.0</v>
      </c>
      <c r="I25" s="27">
        <f t="shared" si="5"/>
        <v>0</v>
      </c>
      <c r="J25" s="27">
        <v>28.0</v>
      </c>
      <c r="K25" s="27">
        <f t="shared" si="6"/>
        <v>0</v>
      </c>
      <c r="L25" s="27">
        <v>101.0</v>
      </c>
      <c r="M25" s="27">
        <f t="shared" si="7"/>
        <v>0</v>
      </c>
      <c r="O25" s="27">
        <f t="shared" si="8"/>
        <v>0</v>
      </c>
      <c r="P25" s="27">
        <v>69.0</v>
      </c>
      <c r="Q25" s="27">
        <f t="shared" si="9"/>
        <v>0</v>
      </c>
      <c r="S25" s="27">
        <v>30.0</v>
      </c>
      <c r="T25" s="27">
        <v>1.0</v>
      </c>
      <c r="U25" s="27">
        <v>1.0</v>
      </c>
      <c r="V25" s="27">
        <v>1.0</v>
      </c>
      <c r="W25" s="27">
        <v>0.0</v>
      </c>
      <c r="X25" s="27">
        <v>0.0</v>
      </c>
      <c r="Y25" s="27">
        <v>1.0</v>
      </c>
      <c r="Z25" s="27">
        <v>1.0</v>
      </c>
      <c r="AA25" s="27">
        <v>1.0</v>
      </c>
      <c r="AC25" s="27">
        <v>30.0</v>
      </c>
      <c r="AD25" s="27">
        <f t="shared" ref="AD25:AK25" si="32">T25/$S$1</f>
        <v>0.01724137931</v>
      </c>
      <c r="AE25" s="27">
        <f t="shared" si="32"/>
        <v>0.01724137931</v>
      </c>
      <c r="AF25" s="27">
        <f t="shared" si="32"/>
        <v>0.01724137931</v>
      </c>
      <c r="AG25" s="27">
        <f t="shared" si="32"/>
        <v>0</v>
      </c>
      <c r="AH25" s="27">
        <f t="shared" si="32"/>
        <v>0</v>
      </c>
      <c r="AI25" s="27">
        <f t="shared" si="32"/>
        <v>0.01724137931</v>
      </c>
      <c r="AJ25" s="27">
        <f t="shared" si="32"/>
        <v>0.01724137931</v>
      </c>
      <c r="AK25" s="27">
        <f t="shared" si="32"/>
        <v>0.01724137931</v>
      </c>
    </row>
    <row r="26" ht="15.75" customHeight="1">
      <c r="A26" s="27">
        <v>25.0</v>
      </c>
      <c r="B26" s="27"/>
      <c r="C26" s="27">
        <f t="shared" si="2"/>
        <v>0</v>
      </c>
      <c r="D26" s="27">
        <v>25.0</v>
      </c>
      <c r="E26" s="27">
        <f t="shared" si="3"/>
        <v>0</v>
      </c>
      <c r="F26" s="27">
        <v>10.0</v>
      </c>
      <c r="G26" s="27">
        <f t="shared" si="4"/>
        <v>0</v>
      </c>
      <c r="H26" s="27">
        <v>37.0</v>
      </c>
      <c r="I26" s="27">
        <f t="shared" si="5"/>
        <v>0</v>
      </c>
      <c r="J26" s="27">
        <v>29.0</v>
      </c>
      <c r="K26" s="27">
        <f t="shared" si="6"/>
        <v>0</v>
      </c>
      <c r="L26" s="27">
        <v>1.0</v>
      </c>
      <c r="M26" s="27">
        <f t="shared" si="7"/>
        <v>0</v>
      </c>
      <c r="O26" s="27">
        <f t="shared" si="8"/>
        <v>0</v>
      </c>
      <c r="P26" s="27">
        <v>25.0</v>
      </c>
      <c r="Q26" s="27">
        <f t="shared" si="9"/>
        <v>0</v>
      </c>
      <c r="S26" s="27">
        <v>31.0</v>
      </c>
      <c r="T26" s="27">
        <v>1.0</v>
      </c>
      <c r="U26" s="27">
        <v>1.0</v>
      </c>
      <c r="V26" s="27">
        <v>1.0</v>
      </c>
      <c r="W26" s="27">
        <v>0.0</v>
      </c>
      <c r="X26" s="27">
        <v>0.0</v>
      </c>
      <c r="Y26" s="27">
        <v>1.0</v>
      </c>
      <c r="Z26" s="27">
        <v>1.0</v>
      </c>
      <c r="AA26" s="27">
        <v>1.0</v>
      </c>
      <c r="AC26" s="27">
        <v>31.0</v>
      </c>
      <c r="AD26" s="27">
        <f t="shared" ref="AD26:AK26" si="33">T26/$S$1</f>
        <v>0.01724137931</v>
      </c>
      <c r="AE26" s="27">
        <f t="shared" si="33"/>
        <v>0.01724137931</v>
      </c>
      <c r="AF26" s="27">
        <f t="shared" si="33"/>
        <v>0.01724137931</v>
      </c>
      <c r="AG26" s="27">
        <f t="shared" si="33"/>
        <v>0</v>
      </c>
      <c r="AH26" s="27">
        <f t="shared" si="33"/>
        <v>0</v>
      </c>
      <c r="AI26" s="27">
        <f t="shared" si="33"/>
        <v>0.01724137931</v>
      </c>
      <c r="AJ26" s="27">
        <f t="shared" si="33"/>
        <v>0.01724137931</v>
      </c>
      <c r="AK26" s="27">
        <f t="shared" si="33"/>
        <v>0.01724137931</v>
      </c>
    </row>
    <row r="27" ht="15.75" customHeight="1">
      <c r="A27" s="27">
        <v>26.0</v>
      </c>
      <c r="B27" s="27"/>
      <c r="C27" s="27">
        <f t="shared" si="2"/>
        <v>0</v>
      </c>
      <c r="D27" s="27">
        <v>25.0</v>
      </c>
      <c r="E27" s="27">
        <f t="shared" si="3"/>
        <v>0</v>
      </c>
      <c r="F27" s="27">
        <v>25.0</v>
      </c>
      <c r="G27" s="27">
        <f t="shared" si="4"/>
        <v>0</v>
      </c>
      <c r="H27" s="27">
        <v>38.0</v>
      </c>
      <c r="I27" s="27">
        <f t="shared" si="5"/>
        <v>0</v>
      </c>
      <c r="J27" s="27">
        <v>30.0</v>
      </c>
      <c r="K27" s="27">
        <f t="shared" si="6"/>
        <v>0</v>
      </c>
      <c r="L27" s="27">
        <v>2.0</v>
      </c>
      <c r="M27" s="27">
        <f t="shared" si="7"/>
        <v>0</v>
      </c>
      <c r="O27" s="27">
        <f t="shared" si="8"/>
        <v>0</v>
      </c>
      <c r="P27" s="27">
        <v>73.0</v>
      </c>
      <c r="Q27" s="27">
        <f t="shared" si="9"/>
        <v>0</v>
      </c>
      <c r="S27" s="27">
        <v>32.0</v>
      </c>
      <c r="T27" s="27">
        <v>2.0</v>
      </c>
      <c r="U27" s="27">
        <v>2.0</v>
      </c>
      <c r="V27" s="27">
        <v>2.0</v>
      </c>
      <c r="W27" s="27">
        <v>0.0</v>
      </c>
      <c r="X27" s="27">
        <v>0.0</v>
      </c>
      <c r="Y27" s="27">
        <v>2.0</v>
      </c>
      <c r="Z27" s="27">
        <v>0.0</v>
      </c>
      <c r="AA27" s="27">
        <v>0.0</v>
      </c>
      <c r="AC27" s="27">
        <v>32.0</v>
      </c>
      <c r="AD27" s="27">
        <f t="shared" ref="AD27:AK27" si="34">T27/$S$1</f>
        <v>0.03448275862</v>
      </c>
      <c r="AE27" s="27">
        <f t="shared" si="34"/>
        <v>0.03448275862</v>
      </c>
      <c r="AF27" s="27">
        <f t="shared" si="34"/>
        <v>0.03448275862</v>
      </c>
      <c r="AG27" s="27">
        <f t="shared" si="34"/>
        <v>0</v>
      </c>
      <c r="AH27" s="27">
        <f t="shared" si="34"/>
        <v>0</v>
      </c>
      <c r="AI27" s="27">
        <f t="shared" si="34"/>
        <v>0.03448275862</v>
      </c>
      <c r="AJ27" s="27">
        <f t="shared" si="34"/>
        <v>0</v>
      </c>
      <c r="AK27" s="27">
        <f t="shared" si="34"/>
        <v>0</v>
      </c>
    </row>
    <row r="28" ht="15.75" customHeight="1">
      <c r="A28" s="27">
        <v>27.0</v>
      </c>
      <c r="B28" s="27"/>
      <c r="C28" s="27">
        <f t="shared" si="2"/>
        <v>0</v>
      </c>
      <c r="D28" s="27">
        <v>10.0</v>
      </c>
      <c r="E28" s="27">
        <f t="shared" si="3"/>
        <v>0</v>
      </c>
      <c r="F28" s="27">
        <v>21.0</v>
      </c>
      <c r="G28" s="27">
        <f t="shared" si="4"/>
        <v>0</v>
      </c>
      <c r="H28" s="27">
        <v>39.0</v>
      </c>
      <c r="I28" s="27">
        <f t="shared" si="5"/>
        <v>0</v>
      </c>
      <c r="J28" s="27">
        <v>31.0</v>
      </c>
      <c r="K28" s="27">
        <f t="shared" si="6"/>
        <v>0</v>
      </c>
      <c r="L28" s="27">
        <v>106.0</v>
      </c>
      <c r="M28" s="27">
        <f t="shared" si="7"/>
        <v>0</v>
      </c>
      <c r="O28" s="27">
        <f t="shared" si="8"/>
        <v>0</v>
      </c>
      <c r="P28" s="27">
        <v>35.0</v>
      </c>
      <c r="Q28" s="27">
        <f t="shared" si="9"/>
        <v>0</v>
      </c>
      <c r="S28" s="27">
        <v>35.0</v>
      </c>
      <c r="T28" s="27">
        <v>4.0</v>
      </c>
      <c r="U28" s="27">
        <v>3.0</v>
      </c>
      <c r="V28" s="27">
        <v>3.0</v>
      </c>
      <c r="W28" s="27">
        <v>0.0</v>
      </c>
      <c r="X28" s="27">
        <v>0.0</v>
      </c>
      <c r="Y28" s="27">
        <v>3.0</v>
      </c>
      <c r="Z28" s="27">
        <v>0.0</v>
      </c>
      <c r="AA28" s="27">
        <v>3.0</v>
      </c>
      <c r="AC28" s="27">
        <v>35.0</v>
      </c>
      <c r="AD28" s="27">
        <f t="shared" ref="AD28:AK28" si="35">T28/$S$1</f>
        <v>0.06896551724</v>
      </c>
      <c r="AE28" s="27">
        <f t="shared" si="35"/>
        <v>0.05172413793</v>
      </c>
      <c r="AF28" s="27">
        <f t="shared" si="35"/>
        <v>0.05172413793</v>
      </c>
      <c r="AG28" s="27">
        <f t="shared" si="35"/>
        <v>0</v>
      </c>
      <c r="AH28" s="27">
        <f t="shared" si="35"/>
        <v>0</v>
      </c>
      <c r="AI28" s="27">
        <f t="shared" si="35"/>
        <v>0.05172413793</v>
      </c>
      <c r="AJ28" s="27">
        <f t="shared" si="35"/>
        <v>0</v>
      </c>
      <c r="AK28" s="27">
        <f t="shared" si="35"/>
        <v>0.05172413793</v>
      </c>
    </row>
    <row r="29" ht="15.75" customHeight="1">
      <c r="A29" s="27">
        <v>28.0</v>
      </c>
      <c r="B29" s="27"/>
      <c r="C29" s="27">
        <f t="shared" si="2"/>
        <v>0</v>
      </c>
      <c r="D29" s="27">
        <v>37.0</v>
      </c>
      <c r="E29" s="27">
        <f t="shared" si="3"/>
        <v>0</v>
      </c>
      <c r="F29" s="27">
        <v>2.0</v>
      </c>
      <c r="G29" s="27">
        <f t="shared" si="4"/>
        <v>0</v>
      </c>
      <c r="H29" s="27">
        <v>40.0</v>
      </c>
      <c r="I29" s="27">
        <f t="shared" si="5"/>
        <v>0</v>
      </c>
      <c r="J29" s="27">
        <v>32.0</v>
      </c>
      <c r="K29" s="27">
        <f t="shared" si="6"/>
        <v>0</v>
      </c>
      <c r="M29" s="27">
        <f t="shared" si="7"/>
        <v>0</v>
      </c>
      <c r="O29" s="27">
        <f t="shared" si="8"/>
        <v>0</v>
      </c>
      <c r="P29" s="27">
        <v>25.0</v>
      </c>
      <c r="Q29" s="27">
        <f t="shared" si="9"/>
        <v>0</v>
      </c>
      <c r="S29" s="27">
        <v>37.0</v>
      </c>
      <c r="T29" s="27">
        <v>1.0</v>
      </c>
      <c r="U29" s="27">
        <v>1.0</v>
      </c>
      <c r="V29" s="27">
        <v>1.0</v>
      </c>
      <c r="W29" s="27">
        <v>0.0</v>
      </c>
      <c r="X29" s="27">
        <v>0.0</v>
      </c>
      <c r="Y29" s="27">
        <v>1.0</v>
      </c>
      <c r="Z29" s="27">
        <v>1.0</v>
      </c>
      <c r="AA29" s="27">
        <v>1.0</v>
      </c>
      <c r="AC29" s="27">
        <v>37.0</v>
      </c>
      <c r="AD29" s="27">
        <f t="shared" ref="AD29:AK29" si="36">T29/$S$1</f>
        <v>0.01724137931</v>
      </c>
      <c r="AE29" s="27">
        <f t="shared" si="36"/>
        <v>0.01724137931</v>
      </c>
      <c r="AF29" s="27">
        <f t="shared" si="36"/>
        <v>0.01724137931</v>
      </c>
      <c r="AG29" s="27">
        <f t="shared" si="36"/>
        <v>0</v>
      </c>
      <c r="AH29" s="27">
        <f t="shared" si="36"/>
        <v>0</v>
      </c>
      <c r="AI29" s="27">
        <f t="shared" si="36"/>
        <v>0.01724137931</v>
      </c>
      <c r="AJ29" s="27">
        <f t="shared" si="36"/>
        <v>0.01724137931</v>
      </c>
      <c r="AK29" s="27">
        <f t="shared" si="36"/>
        <v>0.01724137931</v>
      </c>
    </row>
    <row r="30" ht="15.75" customHeight="1">
      <c r="A30" s="27">
        <v>29.0</v>
      </c>
      <c r="B30" s="27"/>
      <c r="C30" s="27">
        <f t="shared" si="2"/>
        <v>0</v>
      </c>
      <c r="D30" s="27">
        <v>38.0</v>
      </c>
      <c r="E30" s="27">
        <f t="shared" si="3"/>
        <v>0</v>
      </c>
      <c r="F30" s="27">
        <v>25.0</v>
      </c>
      <c r="G30" s="27">
        <f t="shared" si="4"/>
        <v>0</v>
      </c>
      <c r="H30" s="27">
        <v>29.0</v>
      </c>
      <c r="I30" s="27">
        <f t="shared" si="5"/>
        <v>0</v>
      </c>
      <c r="J30" s="27">
        <v>25.0</v>
      </c>
      <c r="K30" s="27">
        <f t="shared" si="6"/>
        <v>0</v>
      </c>
      <c r="M30" s="27">
        <f t="shared" si="7"/>
        <v>0</v>
      </c>
      <c r="O30" s="27">
        <f t="shared" si="8"/>
        <v>0</v>
      </c>
      <c r="P30" s="27">
        <v>29.0</v>
      </c>
      <c r="Q30" s="27">
        <f t="shared" si="9"/>
        <v>0</v>
      </c>
      <c r="S30" s="27">
        <v>38.0</v>
      </c>
      <c r="T30" s="27">
        <v>1.0</v>
      </c>
      <c r="U30" s="27">
        <v>1.0</v>
      </c>
      <c r="V30" s="27">
        <v>1.0</v>
      </c>
      <c r="W30" s="27">
        <v>0.0</v>
      </c>
      <c r="X30" s="27">
        <v>0.0</v>
      </c>
      <c r="Y30" s="27">
        <v>1.0</v>
      </c>
      <c r="Z30" s="27">
        <v>1.0</v>
      </c>
      <c r="AA30" s="27">
        <v>1.0</v>
      </c>
      <c r="AC30" s="27">
        <v>38.0</v>
      </c>
      <c r="AD30" s="27">
        <f t="shared" ref="AD30:AK30" si="37">T30/$S$1</f>
        <v>0.01724137931</v>
      </c>
      <c r="AE30" s="27">
        <f t="shared" si="37"/>
        <v>0.01724137931</v>
      </c>
      <c r="AF30" s="27">
        <f t="shared" si="37"/>
        <v>0.01724137931</v>
      </c>
      <c r="AG30" s="27">
        <f t="shared" si="37"/>
        <v>0</v>
      </c>
      <c r="AH30" s="27">
        <f t="shared" si="37"/>
        <v>0</v>
      </c>
      <c r="AI30" s="27">
        <f t="shared" si="37"/>
        <v>0.01724137931</v>
      </c>
      <c r="AJ30" s="27">
        <f t="shared" si="37"/>
        <v>0.01724137931</v>
      </c>
      <c r="AK30" s="27">
        <f t="shared" si="37"/>
        <v>0.01724137931</v>
      </c>
    </row>
    <row r="31" ht="15.75" customHeight="1">
      <c r="A31" s="27">
        <v>30.0</v>
      </c>
      <c r="B31" s="27"/>
      <c r="C31" s="27">
        <f t="shared" si="2"/>
        <v>0</v>
      </c>
      <c r="D31" s="27">
        <v>39.0</v>
      </c>
      <c r="E31" s="27">
        <f t="shared" si="3"/>
        <v>0</v>
      </c>
      <c r="F31" s="27">
        <v>25.0</v>
      </c>
      <c r="G31" s="27">
        <f t="shared" si="4"/>
        <v>0</v>
      </c>
      <c r="H31" s="27">
        <v>42.0</v>
      </c>
      <c r="I31" s="27">
        <f t="shared" si="5"/>
        <v>0</v>
      </c>
      <c r="J31" s="27">
        <v>10.0</v>
      </c>
      <c r="K31" s="27">
        <f t="shared" si="6"/>
        <v>0</v>
      </c>
      <c r="M31" s="27">
        <f t="shared" si="7"/>
        <v>0</v>
      </c>
      <c r="O31" s="27">
        <f t="shared" si="8"/>
        <v>0</v>
      </c>
      <c r="P31" s="27">
        <v>35.0</v>
      </c>
      <c r="Q31" s="27">
        <f t="shared" si="9"/>
        <v>0</v>
      </c>
      <c r="S31" s="27">
        <v>39.0</v>
      </c>
      <c r="T31" s="27">
        <v>1.0</v>
      </c>
      <c r="U31" s="27">
        <v>1.0</v>
      </c>
      <c r="V31" s="27">
        <v>1.0</v>
      </c>
      <c r="W31" s="27">
        <v>0.0</v>
      </c>
      <c r="X31" s="27">
        <v>0.0</v>
      </c>
      <c r="Y31" s="27">
        <v>1.0</v>
      </c>
      <c r="Z31" s="27">
        <v>1.0</v>
      </c>
      <c r="AA31" s="27">
        <v>1.0</v>
      </c>
      <c r="AC31" s="27">
        <v>39.0</v>
      </c>
      <c r="AD31" s="27">
        <f t="shared" ref="AD31:AK31" si="38">T31/$S$1</f>
        <v>0.01724137931</v>
      </c>
      <c r="AE31" s="27">
        <f t="shared" si="38"/>
        <v>0.01724137931</v>
      </c>
      <c r="AF31" s="27">
        <f t="shared" si="38"/>
        <v>0.01724137931</v>
      </c>
      <c r="AG31" s="27">
        <f t="shared" si="38"/>
        <v>0</v>
      </c>
      <c r="AH31" s="27">
        <f t="shared" si="38"/>
        <v>0</v>
      </c>
      <c r="AI31" s="27">
        <f t="shared" si="38"/>
        <v>0.01724137931</v>
      </c>
      <c r="AJ31" s="27">
        <f t="shared" si="38"/>
        <v>0.01724137931</v>
      </c>
      <c r="AK31" s="27">
        <f t="shared" si="38"/>
        <v>0.01724137931</v>
      </c>
    </row>
    <row r="32" ht="15.75" customHeight="1">
      <c r="A32" s="27">
        <v>31.0</v>
      </c>
      <c r="B32" s="27"/>
      <c r="C32" s="27">
        <f t="shared" si="2"/>
        <v>0</v>
      </c>
      <c r="D32" s="27">
        <v>40.0</v>
      </c>
      <c r="E32" s="27">
        <f t="shared" si="3"/>
        <v>0</v>
      </c>
      <c r="F32" s="27">
        <v>19.0</v>
      </c>
      <c r="G32" s="27">
        <f t="shared" si="4"/>
        <v>0</v>
      </c>
      <c r="H32" s="27">
        <v>45.0</v>
      </c>
      <c r="I32" s="27">
        <f t="shared" si="5"/>
        <v>0</v>
      </c>
      <c r="J32" s="27">
        <v>37.0</v>
      </c>
      <c r="K32" s="27">
        <f t="shared" si="6"/>
        <v>0</v>
      </c>
      <c r="M32" s="27">
        <f t="shared" si="7"/>
        <v>0</v>
      </c>
      <c r="O32" s="27">
        <f t="shared" si="8"/>
        <v>0</v>
      </c>
      <c r="P32" s="27">
        <v>25.0</v>
      </c>
      <c r="Q32" s="27">
        <f t="shared" si="9"/>
        <v>0</v>
      </c>
      <c r="S32" s="27">
        <v>40.0</v>
      </c>
      <c r="T32" s="27">
        <v>1.0</v>
      </c>
      <c r="U32" s="27">
        <v>1.0</v>
      </c>
      <c r="V32" s="27">
        <v>1.0</v>
      </c>
      <c r="W32" s="27">
        <v>0.0</v>
      </c>
      <c r="X32" s="27">
        <v>0.0</v>
      </c>
      <c r="Y32" s="27">
        <v>1.0</v>
      </c>
      <c r="Z32" s="27">
        <v>0.0</v>
      </c>
      <c r="AA32" s="27">
        <v>0.0</v>
      </c>
      <c r="AC32" s="27">
        <v>40.0</v>
      </c>
      <c r="AD32" s="27">
        <f t="shared" ref="AD32:AK32" si="39">T32/$S$1</f>
        <v>0.01724137931</v>
      </c>
      <c r="AE32" s="27">
        <f t="shared" si="39"/>
        <v>0.01724137931</v>
      </c>
      <c r="AF32" s="27">
        <f t="shared" si="39"/>
        <v>0.01724137931</v>
      </c>
      <c r="AG32" s="27">
        <f t="shared" si="39"/>
        <v>0</v>
      </c>
      <c r="AH32" s="27">
        <f t="shared" si="39"/>
        <v>0</v>
      </c>
      <c r="AI32" s="27">
        <f t="shared" si="39"/>
        <v>0.01724137931</v>
      </c>
      <c r="AJ32" s="27">
        <f t="shared" si="39"/>
        <v>0</v>
      </c>
      <c r="AK32" s="27">
        <f t="shared" si="39"/>
        <v>0</v>
      </c>
    </row>
    <row r="33" ht="15.75" customHeight="1">
      <c r="A33" s="27">
        <v>32.0</v>
      </c>
      <c r="B33" s="27"/>
      <c r="C33" s="27">
        <f t="shared" si="2"/>
        <v>0</v>
      </c>
      <c r="D33" s="27">
        <v>29.0</v>
      </c>
      <c r="E33" s="27">
        <f t="shared" si="3"/>
        <v>0</v>
      </c>
      <c r="F33" s="27">
        <v>65.0</v>
      </c>
      <c r="G33" s="27">
        <f t="shared" si="4"/>
        <v>0</v>
      </c>
      <c r="H33" s="27">
        <v>22.0</v>
      </c>
      <c r="I33" s="27">
        <f t="shared" si="5"/>
        <v>0</v>
      </c>
      <c r="J33" s="27">
        <v>38.0</v>
      </c>
      <c r="K33" s="27">
        <f t="shared" si="6"/>
        <v>0</v>
      </c>
      <c r="M33" s="27">
        <f t="shared" si="7"/>
        <v>0</v>
      </c>
      <c r="O33" s="27">
        <f t="shared" si="8"/>
        <v>0</v>
      </c>
      <c r="P33" s="27">
        <v>45.0</v>
      </c>
      <c r="Q33" s="27">
        <f t="shared" si="9"/>
        <v>0</v>
      </c>
      <c r="S33" s="27">
        <v>42.0</v>
      </c>
      <c r="T33" s="27">
        <v>1.0</v>
      </c>
      <c r="U33" s="27">
        <v>1.0</v>
      </c>
      <c r="V33" s="27">
        <v>1.0</v>
      </c>
      <c r="W33" s="27">
        <v>0.0</v>
      </c>
      <c r="X33" s="27">
        <v>0.0</v>
      </c>
      <c r="Y33" s="27">
        <v>1.0</v>
      </c>
      <c r="Z33" s="27">
        <v>1.0</v>
      </c>
      <c r="AA33" s="27">
        <v>1.0</v>
      </c>
      <c r="AC33" s="27">
        <v>42.0</v>
      </c>
      <c r="AD33" s="27">
        <f t="shared" ref="AD33:AK33" si="40">T33/$S$1</f>
        <v>0.01724137931</v>
      </c>
      <c r="AE33" s="27">
        <f t="shared" si="40"/>
        <v>0.01724137931</v>
      </c>
      <c r="AF33" s="27">
        <f t="shared" si="40"/>
        <v>0.01724137931</v>
      </c>
      <c r="AG33" s="27">
        <f t="shared" si="40"/>
        <v>0</v>
      </c>
      <c r="AH33" s="27">
        <f t="shared" si="40"/>
        <v>0</v>
      </c>
      <c r="AI33" s="27">
        <f t="shared" si="40"/>
        <v>0.01724137931</v>
      </c>
      <c r="AJ33" s="27">
        <f t="shared" si="40"/>
        <v>0.01724137931</v>
      </c>
      <c r="AK33" s="27">
        <f t="shared" si="40"/>
        <v>0.01724137931</v>
      </c>
    </row>
    <row r="34" ht="15.75" customHeight="1">
      <c r="A34" s="27">
        <v>25.0</v>
      </c>
      <c r="B34" s="27"/>
      <c r="C34" s="27">
        <f t="shared" si="2"/>
        <v>0</v>
      </c>
      <c r="D34" s="27">
        <v>42.0</v>
      </c>
      <c r="E34" s="27">
        <f t="shared" si="3"/>
        <v>0</v>
      </c>
      <c r="F34" s="27">
        <v>2.0</v>
      </c>
      <c r="G34" s="27">
        <f t="shared" si="4"/>
        <v>0</v>
      </c>
      <c r="H34" s="27">
        <v>25.0</v>
      </c>
      <c r="I34" s="27">
        <f t="shared" si="5"/>
        <v>0</v>
      </c>
      <c r="J34" s="27">
        <v>39.0</v>
      </c>
      <c r="K34" s="27">
        <f t="shared" si="6"/>
        <v>0</v>
      </c>
      <c r="M34" s="27">
        <f t="shared" si="7"/>
        <v>0</v>
      </c>
      <c r="O34" s="27">
        <f t="shared" si="8"/>
        <v>0</v>
      </c>
      <c r="P34" s="27">
        <v>25.0</v>
      </c>
      <c r="Q34" s="27">
        <f t="shared" si="9"/>
        <v>0</v>
      </c>
      <c r="S34" s="27">
        <v>45.0</v>
      </c>
      <c r="T34" s="27">
        <v>3.0</v>
      </c>
      <c r="U34" s="27">
        <v>3.0</v>
      </c>
      <c r="V34" s="27">
        <v>3.0</v>
      </c>
      <c r="W34" s="27">
        <v>0.0</v>
      </c>
      <c r="X34" s="27">
        <v>2.0</v>
      </c>
      <c r="Y34" s="27">
        <v>3.0</v>
      </c>
      <c r="Z34" s="27">
        <v>1.0</v>
      </c>
      <c r="AA34" s="27">
        <v>3.0</v>
      </c>
      <c r="AC34" s="27">
        <v>45.0</v>
      </c>
      <c r="AD34" s="27">
        <f t="shared" ref="AD34:AK34" si="41">T34/$S$1</f>
        <v>0.05172413793</v>
      </c>
      <c r="AE34" s="27">
        <f t="shared" si="41"/>
        <v>0.05172413793</v>
      </c>
      <c r="AF34" s="27">
        <f t="shared" si="41"/>
        <v>0.05172413793</v>
      </c>
      <c r="AG34" s="27">
        <f t="shared" si="41"/>
        <v>0</v>
      </c>
      <c r="AH34" s="27">
        <f t="shared" si="41"/>
        <v>0.03448275862</v>
      </c>
      <c r="AI34" s="27">
        <f t="shared" si="41"/>
        <v>0.05172413793</v>
      </c>
      <c r="AJ34" s="27">
        <f t="shared" si="41"/>
        <v>0.01724137931</v>
      </c>
      <c r="AK34" s="27">
        <f t="shared" si="41"/>
        <v>0.05172413793</v>
      </c>
    </row>
    <row r="35" ht="15.75" customHeight="1">
      <c r="A35" s="27">
        <v>25.0</v>
      </c>
      <c r="B35" s="27"/>
      <c r="C35" s="27">
        <f t="shared" si="2"/>
        <v>0</v>
      </c>
      <c r="D35" s="27">
        <v>45.0</v>
      </c>
      <c r="E35" s="27">
        <f t="shared" si="3"/>
        <v>0</v>
      </c>
      <c r="F35" s="27">
        <v>10.0</v>
      </c>
      <c r="G35" s="27">
        <f t="shared" si="4"/>
        <v>0</v>
      </c>
      <c r="H35" s="27">
        <v>50.0</v>
      </c>
      <c r="I35" s="27">
        <f t="shared" si="5"/>
        <v>0</v>
      </c>
      <c r="J35" s="27">
        <v>40.0</v>
      </c>
      <c r="K35" s="27">
        <f t="shared" si="6"/>
        <v>0</v>
      </c>
      <c r="M35" s="27">
        <f t="shared" si="7"/>
        <v>0</v>
      </c>
      <c r="O35" s="27">
        <f t="shared" si="8"/>
        <v>0</v>
      </c>
      <c r="P35" s="27">
        <v>45.0</v>
      </c>
      <c r="Q35" s="27">
        <f t="shared" si="9"/>
        <v>0</v>
      </c>
      <c r="S35" s="27">
        <v>50.0</v>
      </c>
      <c r="T35" s="27">
        <v>2.0</v>
      </c>
      <c r="U35" s="27">
        <v>2.0</v>
      </c>
      <c r="V35" s="27">
        <v>2.0</v>
      </c>
      <c r="W35" s="27">
        <v>0.0</v>
      </c>
      <c r="X35" s="27">
        <v>0.0</v>
      </c>
      <c r="Y35" s="27">
        <v>2.0</v>
      </c>
      <c r="Z35" s="27">
        <v>0.0</v>
      </c>
      <c r="AA35" s="27">
        <v>0.0</v>
      </c>
      <c r="AC35" s="27">
        <v>50.0</v>
      </c>
      <c r="AD35" s="27">
        <f t="shared" ref="AD35:AK35" si="42">T35/$S$1</f>
        <v>0.03448275862</v>
      </c>
      <c r="AE35" s="27">
        <f t="shared" si="42"/>
        <v>0.03448275862</v>
      </c>
      <c r="AF35" s="27">
        <f t="shared" si="42"/>
        <v>0.03448275862</v>
      </c>
      <c r="AG35" s="27">
        <f t="shared" si="42"/>
        <v>0</v>
      </c>
      <c r="AH35" s="27">
        <f t="shared" si="42"/>
        <v>0</v>
      </c>
      <c r="AI35" s="27">
        <f t="shared" si="42"/>
        <v>0.03448275862</v>
      </c>
      <c r="AJ35" s="27">
        <f t="shared" si="42"/>
        <v>0</v>
      </c>
      <c r="AK35" s="27">
        <f t="shared" si="42"/>
        <v>0</v>
      </c>
    </row>
    <row r="36" ht="15.75" customHeight="1">
      <c r="A36" s="27">
        <v>35.0</v>
      </c>
      <c r="B36" s="27"/>
      <c r="C36" s="27">
        <f t="shared" si="2"/>
        <v>0</v>
      </c>
      <c r="D36" s="27">
        <v>22.0</v>
      </c>
      <c r="E36" s="27">
        <f t="shared" si="3"/>
        <v>0</v>
      </c>
      <c r="F36" s="27">
        <v>25.0</v>
      </c>
      <c r="G36" s="27">
        <f t="shared" si="4"/>
        <v>0</v>
      </c>
      <c r="H36" s="27">
        <v>32.0</v>
      </c>
      <c r="I36" s="27">
        <f t="shared" si="5"/>
        <v>0</v>
      </c>
      <c r="J36" s="27">
        <v>29.0</v>
      </c>
      <c r="K36" s="27">
        <f t="shared" si="6"/>
        <v>0</v>
      </c>
      <c r="M36" s="27">
        <f t="shared" si="7"/>
        <v>0</v>
      </c>
      <c r="O36" s="27">
        <f t="shared" si="8"/>
        <v>0</v>
      </c>
      <c r="P36" s="27">
        <v>1.0</v>
      </c>
      <c r="Q36" s="27">
        <f t="shared" si="9"/>
        <v>0</v>
      </c>
      <c r="S36" s="27">
        <v>54.0</v>
      </c>
      <c r="T36" s="27">
        <v>1.0</v>
      </c>
      <c r="U36" s="27">
        <v>1.0</v>
      </c>
      <c r="V36" s="27">
        <v>1.0</v>
      </c>
      <c r="W36" s="27">
        <v>0.0</v>
      </c>
      <c r="X36" s="27">
        <v>0.0</v>
      </c>
      <c r="Y36" s="27">
        <v>1.0</v>
      </c>
      <c r="Z36" s="27">
        <v>0.0</v>
      </c>
      <c r="AA36" s="27">
        <v>0.0</v>
      </c>
      <c r="AC36" s="27">
        <v>54.0</v>
      </c>
      <c r="AD36" s="27">
        <f t="shared" ref="AD36:AK36" si="43">T36/$S$1</f>
        <v>0.01724137931</v>
      </c>
      <c r="AE36" s="27">
        <f t="shared" si="43"/>
        <v>0.01724137931</v>
      </c>
      <c r="AF36" s="27">
        <f t="shared" si="43"/>
        <v>0.01724137931</v>
      </c>
      <c r="AG36" s="27">
        <f t="shared" si="43"/>
        <v>0</v>
      </c>
      <c r="AH36" s="27">
        <f t="shared" si="43"/>
        <v>0</v>
      </c>
      <c r="AI36" s="27">
        <f t="shared" si="43"/>
        <v>0.01724137931</v>
      </c>
      <c r="AJ36" s="27">
        <f t="shared" si="43"/>
        <v>0</v>
      </c>
      <c r="AK36" s="27">
        <f t="shared" si="43"/>
        <v>0</v>
      </c>
    </row>
    <row r="37" ht="15.75" customHeight="1">
      <c r="A37" s="27">
        <v>10.0</v>
      </c>
      <c r="B37" s="27"/>
      <c r="C37" s="27">
        <f t="shared" si="2"/>
        <v>0</v>
      </c>
      <c r="D37" s="27">
        <v>10.0</v>
      </c>
      <c r="E37" s="27">
        <f t="shared" si="3"/>
        <v>0</v>
      </c>
      <c r="F37" s="27">
        <v>10.0</v>
      </c>
      <c r="G37" s="27">
        <f t="shared" si="4"/>
        <v>0</v>
      </c>
      <c r="H37" s="27">
        <v>25.0</v>
      </c>
      <c r="I37" s="27">
        <f t="shared" si="5"/>
        <v>0</v>
      </c>
      <c r="J37" s="27">
        <v>42.0</v>
      </c>
      <c r="K37" s="27">
        <f t="shared" si="6"/>
        <v>0</v>
      </c>
      <c r="M37" s="27">
        <f t="shared" si="7"/>
        <v>0</v>
      </c>
      <c r="O37" s="27">
        <f t="shared" si="8"/>
        <v>0</v>
      </c>
      <c r="P37" s="27">
        <v>97.0</v>
      </c>
      <c r="Q37" s="27">
        <f t="shared" si="9"/>
        <v>0</v>
      </c>
      <c r="S37" s="27">
        <v>60.0</v>
      </c>
      <c r="T37" s="27">
        <v>1.0</v>
      </c>
      <c r="U37" s="27">
        <v>1.0</v>
      </c>
      <c r="V37" s="27">
        <v>1.0</v>
      </c>
      <c r="W37" s="27">
        <v>0.0</v>
      </c>
      <c r="X37" s="27">
        <v>0.0</v>
      </c>
      <c r="Y37" s="27">
        <v>1.0</v>
      </c>
      <c r="Z37" s="27">
        <v>0.0</v>
      </c>
      <c r="AA37" s="27">
        <v>1.0</v>
      </c>
      <c r="AC37" s="27">
        <v>60.0</v>
      </c>
      <c r="AD37" s="27">
        <f t="shared" ref="AD37:AK37" si="44">T37/$S$1</f>
        <v>0.01724137931</v>
      </c>
      <c r="AE37" s="27">
        <f t="shared" si="44"/>
        <v>0.01724137931</v>
      </c>
      <c r="AF37" s="27">
        <f t="shared" si="44"/>
        <v>0.01724137931</v>
      </c>
      <c r="AG37" s="27">
        <f t="shared" si="44"/>
        <v>0</v>
      </c>
      <c r="AH37" s="27">
        <f t="shared" si="44"/>
        <v>0</v>
      </c>
      <c r="AI37" s="27">
        <f t="shared" si="44"/>
        <v>0.01724137931</v>
      </c>
      <c r="AJ37" s="27">
        <f t="shared" si="44"/>
        <v>0</v>
      </c>
      <c r="AK37" s="27">
        <f t="shared" si="44"/>
        <v>0.01724137931</v>
      </c>
    </row>
    <row r="38" ht="15.75" customHeight="1">
      <c r="A38" s="27">
        <v>37.0</v>
      </c>
      <c r="B38" s="27"/>
      <c r="C38" s="27">
        <f t="shared" si="2"/>
        <v>0</v>
      </c>
      <c r="D38" s="27">
        <v>25.0</v>
      </c>
      <c r="E38" s="27">
        <f t="shared" si="3"/>
        <v>0</v>
      </c>
      <c r="F38" s="27">
        <v>19.0</v>
      </c>
      <c r="G38" s="27">
        <f t="shared" si="4"/>
        <v>0</v>
      </c>
      <c r="H38" s="27">
        <v>54.0</v>
      </c>
      <c r="I38" s="27">
        <f t="shared" si="5"/>
        <v>0</v>
      </c>
      <c r="J38" s="27">
        <v>45.0</v>
      </c>
      <c r="K38" s="27">
        <f t="shared" si="6"/>
        <v>0</v>
      </c>
      <c r="M38" s="27">
        <f t="shared" si="7"/>
        <v>0</v>
      </c>
      <c r="O38" s="27">
        <f t="shared" si="8"/>
        <v>0</v>
      </c>
      <c r="P38" s="27">
        <v>98.0</v>
      </c>
      <c r="Q38" s="27">
        <f t="shared" si="9"/>
        <v>0</v>
      </c>
      <c r="S38" s="27">
        <v>65.0</v>
      </c>
      <c r="T38" s="27">
        <v>1.0</v>
      </c>
      <c r="U38" s="27">
        <v>1.0</v>
      </c>
      <c r="V38" s="27">
        <v>0.0</v>
      </c>
      <c r="W38" s="27">
        <v>0.0</v>
      </c>
      <c r="X38" s="27">
        <v>1.0</v>
      </c>
      <c r="Y38" s="27">
        <v>1.0</v>
      </c>
      <c r="Z38" s="27">
        <v>1.0</v>
      </c>
      <c r="AA38" s="27">
        <v>1.0</v>
      </c>
      <c r="AC38" s="27">
        <v>65.0</v>
      </c>
      <c r="AD38" s="27">
        <f t="shared" ref="AD38:AK38" si="45">T38/$S$1</f>
        <v>0.01724137931</v>
      </c>
      <c r="AE38" s="27">
        <f t="shared" si="45"/>
        <v>0.01724137931</v>
      </c>
      <c r="AF38" s="27">
        <f t="shared" si="45"/>
        <v>0</v>
      </c>
      <c r="AG38" s="27">
        <f t="shared" si="45"/>
        <v>0</v>
      </c>
      <c r="AH38" s="27">
        <f t="shared" si="45"/>
        <v>0.01724137931</v>
      </c>
      <c r="AI38" s="27">
        <f t="shared" si="45"/>
        <v>0.01724137931</v>
      </c>
      <c r="AJ38" s="27">
        <f t="shared" si="45"/>
        <v>0.01724137931</v>
      </c>
      <c r="AK38" s="27">
        <f t="shared" si="45"/>
        <v>0.01724137931</v>
      </c>
    </row>
    <row r="39" ht="15.75" customHeight="1">
      <c r="A39" s="27">
        <v>38.0</v>
      </c>
      <c r="B39" s="27"/>
      <c r="C39" s="27">
        <f t="shared" si="2"/>
        <v>0</v>
      </c>
      <c r="D39" s="27">
        <v>50.0</v>
      </c>
      <c r="E39" s="27">
        <f t="shared" si="3"/>
        <v>0</v>
      </c>
      <c r="F39" s="27">
        <v>29.0</v>
      </c>
      <c r="G39" s="27">
        <f t="shared" si="4"/>
        <v>0</v>
      </c>
      <c r="H39" s="27">
        <v>35.0</v>
      </c>
      <c r="I39" s="27">
        <f t="shared" si="5"/>
        <v>0</v>
      </c>
      <c r="J39" s="27">
        <v>22.0</v>
      </c>
      <c r="K39" s="27">
        <f t="shared" si="6"/>
        <v>0</v>
      </c>
      <c r="M39" s="27">
        <f t="shared" si="7"/>
        <v>0</v>
      </c>
      <c r="O39" s="27">
        <f t="shared" si="8"/>
        <v>0</v>
      </c>
      <c r="P39" s="27">
        <v>1.0</v>
      </c>
      <c r="Q39" s="27">
        <f t="shared" si="9"/>
        <v>0</v>
      </c>
      <c r="S39" s="27">
        <v>67.0</v>
      </c>
      <c r="T39" s="27">
        <v>1.0</v>
      </c>
      <c r="U39" s="27">
        <v>1.0</v>
      </c>
      <c r="V39" s="27">
        <v>1.0</v>
      </c>
      <c r="W39" s="27">
        <v>0.0</v>
      </c>
      <c r="X39" s="27">
        <v>1.0</v>
      </c>
      <c r="Y39" s="27">
        <v>1.0</v>
      </c>
      <c r="Z39" s="27">
        <v>0.0</v>
      </c>
      <c r="AA39" s="27">
        <v>0.0</v>
      </c>
      <c r="AC39" s="27">
        <v>67.0</v>
      </c>
      <c r="AD39" s="27">
        <f t="shared" ref="AD39:AK39" si="46">T39/$S$1</f>
        <v>0.01724137931</v>
      </c>
      <c r="AE39" s="27">
        <f t="shared" si="46"/>
        <v>0.01724137931</v>
      </c>
      <c r="AF39" s="27">
        <f t="shared" si="46"/>
        <v>0.01724137931</v>
      </c>
      <c r="AG39" s="27">
        <f t="shared" si="46"/>
        <v>0</v>
      </c>
      <c r="AH39" s="27">
        <f t="shared" si="46"/>
        <v>0.01724137931</v>
      </c>
      <c r="AI39" s="27">
        <f t="shared" si="46"/>
        <v>0.01724137931</v>
      </c>
      <c r="AJ39" s="27">
        <f t="shared" si="46"/>
        <v>0</v>
      </c>
      <c r="AK39" s="27">
        <f t="shared" si="46"/>
        <v>0</v>
      </c>
    </row>
    <row r="40" ht="15.75" customHeight="1">
      <c r="A40" s="27">
        <v>39.0</v>
      </c>
      <c r="B40" s="27"/>
      <c r="C40" s="27">
        <f t="shared" si="2"/>
        <v>0</v>
      </c>
      <c r="D40" s="27">
        <v>32.0</v>
      </c>
      <c r="E40" s="27">
        <f t="shared" si="3"/>
        <v>0</v>
      </c>
      <c r="F40" s="27">
        <v>19.0</v>
      </c>
      <c r="G40" s="27">
        <f t="shared" si="4"/>
        <v>0</v>
      </c>
      <c r="H40" s="27">
        <v>22.0</v>
      </c>
      <c r="I40" s="27">
        <f t="shared" si="5"/>
        <v>0</v>
      </c>
      <c r="J40" s="27">
        <v>10.0</v>
      </c>
      <c r="K40" s="27">
        <f t="shared" si="6"/>
        <v>0</v>
      </c>
      <c r="M40" s="27">
        <f t="shared" si="7"/>
        <v>0</v>
      </c>
      <c r="O40" s="27">
        <f t="shared" si="8"/>
        <v>0</v>
      </c>
      <c r="P40" s="27">
        <v>101.0</v>
      </c>
      <c r="Q40" s="27">
        <f t="shared" si="9"/>
        <v>0</v>
      </c>
      <c r="S40" s="27">
        <v>69.0</v>
      </c>
      <c r="T40" s="27">
        <v>1.0</v>
      </c>
      <c r="U40" s="27">
        <v>1.0</v>
      </c>
      <c r="V40" s="27">
        <v>1.0</v>
      </c>
      <c r="W40" s="27">
        <v>0.0</v>
      </c>
      <c r="X40" s="27">
        <v>0.0</v>
      </c>
      <c r="Y40" s="27">
        <v>1.0</v>
      </c>
      <c r="Z40" s="27">
        <v>0.0</v>
      </c>
      <c r="AA40" s="27">
        <v>1.0</v>
      </c>
      <c r="AC40" s="27">
        <v>69.0</v>
      </c>
      <c r="AD40" s="27">
        <f t="shared" ref="AD40:AK40" si="47">T40/$S$1</f>
        <v>0.01724137931</v>
      </c>
      <c r="AE40" s="27">
        <f t="shared" si="47"/>
        <v>0.01724137931</v>
      </c>
      <c r="AF40" s="27">
        <f t="shared" si="47"/>
        <v>0.01724137931</v>
      </c>
      <c r="AG40" s="27">
        <f t="shared" si="47"/>
        <v>0</v>
      </c>
      <c r="AH40" s="27">
        <f t="shared" si="47"/>
        <v>0</v>
      </c>
      <c r="AI40" s="27">
        <f t="shared" si="47"/>
        <v>0.01724137931</v>
      </c>
      <c r="AJ40" s="27">
        <f t="shared" si="47"/>
        <v>0</v>
      </c>
      <c r="AK40" s="27">
        <f t="shared" si="47"/>
        <v>0.01724137931</v>
      </c>
    </row>
    <row r="41" ht="15.75" customHeight="1">
      <c r="A41" s="27">
        <v>40.0</v>
      </c>
      <c r="B41" s="27"/>
      <c r="C41" s="27">
        <f t="shared" si="2"/>
        <v>0</v>
      </c>
      <c r="D41" s="27">
        <v>25.0</v>
      </c>
      <c r="E41" s="27">
        <f t="shared" si="3"/>
        <v>0</v>
      </c>
      <c r="F41" s="27">
        <v>25.0</v>
      </c>
      <c r="G41" s="27">
        <f t="shared" si="4"/>
        <v>0</v>
      </c>
      <c r="H41" s="27">
        <v>21.0</v>
      </c>
      <c r="I41" s="27">
        <f t="shared" si="5"/>
        <v>0</v>
      </c>
      <c r="J41" s="27">
        <v>25.0</v>
      </c>
      <c r="K41" s="27">
        <f t="shared" si="6"/>
        <v>0</v>
      </c>
      <c r="M41" s="27">
        <f t="shared" si="7"/>
        <v>0</v>
      </c>
      <c r="O41" s="27">
        <f t="shared" si="8"/>
        <v>0</v>
      </c>
      <c r="P41" s="27">
        <v>1.0</v>
      </c>
      <c r="Q41" s="27">
        <f t="shared" si="9"/>
        <v>0</v>
      </c>
      <c r="S41" s="27">
        <v>70.0</v>
      </c>
      <c r="T41" s="27">
        <v>1.0</v>
      </c>
      <c r="U41" s="27">
        <v>1.0</v>
      </c>
      <c r="V41" s="27">
        <v>1.0</v>
      </c>
      <c r="W41" s="27">
        <v>0.0</v>
      </c>
      <c r="X41" s="27">
        <v>0.0</v>
      </c>
      <c r="Y41" s="27">
        <v>1.0</v>
      </c>
      <c r="Z41" s="27">
        <v>0.0</v>
      </c>
      <c r="AA41" s="27">
        <v>0.0</v>
      </c>
      <c r="AC41" s="27">
        <v>70.0</v>
      </c>
      <c r="AD41" s="27">
        <f t="shared" ref="AD41:AK41" si="48">T41/$S$1</f>
        <v>0.01724137931</v>
      </c>
      <c r="AE41" s="27">
        <f t="shared" si="48"/>
        <v>0.01724137931</v>
      </c>
      <c r="AF41" s="27">
        <f t="shared" si="48"/>
        <v>0.01724137931</v>
      </c>
      <c r="AG41" s="27">
        <f t="shared" si="48"/>
        <v>0</v>
      </c>
      <c r="AH41" s="27">
        <f t="shared" si="48"/>
        <v>0</v>
      </c>
      <c r="AI41" s="27">
        <f t="shared" si="48"/>
        <v>0.01724137931</v>
      </c>
      <c r="AJ41" s="27">
        <f t="shared" si="48"/>
        <v>0</v>
      </c>
      <c r="AK41" s="27">
        <f t="shared" si="48"/>
        <v>0</v>
      </c>
    </row>
    <row r="42" ht="15.75" customHeight="1">
      <c r="A42" s="27">
        <v>29.0</v>
      </c>
      <c r="B42" s="27"/>
      <c r="C42" s="27">
        <f t="shared" si="2"/>
        <v>0</v>
      </c>
      <c r="D42" s="27">
        <v>54.0</v>
      </c>
      <c r="E42" s="27">
        <f t="shared" si="3"/>
        <v>0</v>
      </c>
      <c r="F42" s="27">
        <v>25.0</v>
      </c>
      <c r="G42" s="27">
        <f t="shared" si="4"/>
        <v>0</v>
      </c>
      <c r="H42" s="27">
        <v>50.0</v>
      </c>
      <c r="I42" s="27">
        <f t="shared" si="5"/>
        <v>0</v>
      </c>
      <c r="J42" s="27">
        <v>50.0</v>
      </c>
      <c r="K42" s="27">
        <f t="shared" si="6"/>
        <v>0</v>
      </c>
      <c r="M42" s="27">
        <f t="shared" si="7"/>
        <v>0</v>
      </c>
      <c r="O42" s="27">
        <f t="shared" si="8"/>
        <v>0</v>
      </c>
      <c r="Q42" s="27">
        <f t="shared" si="9"/>
        <v>0</v>
      </c>
      <c r="S42" s="27">
        <v>73.0</v>
      </c>
      <c r="T42" s="27">
        <v>1.0</v>
      </c>
      <c r="U42" s="27">
        <v>1.0</v>
      </c>
      <c r="V42" s="27">
        <v>1.0</v>
      </c>
      <c r="W42" s="27">
        <v>0.0</v>
      </c>
      <c r="X42" s="27">
        <v>0.0</v>
      </c>
      <c r="Y42" s="27">
        <v>1.0</v>
      </c>
      <c r="Z42" s="27">
        <v>0.0</v>
      </c>
      <c r="AA42" s="27">
        <v>1.0</v>
      </c>
      <c r="AC42" s="27">
        <v>73.0</v>
      </c>
      <c r="AD42" s="27">
        <f t="shared" ref="AD42:AK42" si="49">T42/$S$1</f>
        <v>0.01724137931</v>
      </c>
      <c r="AE42" s="27">
        <f t="shared" si="49"/>
        <v>0.01724137931</v>
      </c>
      <c r="AF42" s="27">
        <f t="shared" si="49"/>
        <v>0.01724137931</v>
      </c>
      <c r="AG42" s="27">
        <f t="shared" si="49"/>
        <v>0</v>
      </c>
      <c r="AH42" s="27">
        <f t="shared" si="49"/>
        <v>0</v>
      </c>
      <c r="AI42" s="27">
        <f t="shared" si="49"/>
        <v>0.01724137931</v>
      </c>
      <c r="AJ42" s="27">
        <f t="shared" si="49"/>
        <v>0</v>
      </c>
      <c r="AK42" s="27">
        <f t="shared" si="49"/>
        <v>0.01724137931</v>
      </c>
    </row>
    <row r="43" ht="15.75" customHeight="1">
      <c r="A43" s="27">
        <v>42.0</v>
      </c>
      <c r="B43" s="27"/>
      <c r="C43" s="27">
        <f t="shared" si="2"/>
        <v>0</v>
      </c>
      <c r="D43" s="27">
        <v>35.0</v>
      </c>
      <c r="E43" s="27">
        <f t="shared" si="3"/>
        <v>0</v>
      </c>
      <c r="F43" s="27">
        <v>88.0</v>
      </c>
      <c r="G43" s="27">
        <f t="shared" si="4"/>
        <v>0</v>
      </c>
      <c r="H43" s="27">
        <v>60.0</v>
      </c>
      <c r="I43" s="27">
        <f t="shared" si="5"/>
        <v>0</v>
      </c>
      <c r="J43" s="27">
        <v>32.0</v>
      </c>
      <c r="K43" s="27">
        <f t="shared" si="6"/>
        <v>0</v>
      </c>
      <c r="M43" s="27">
        <f t="shared" si="7"/>
        <v>0</v>
      </c>
      <c r="O43" s="27">
        <f t="shared" si="8"/>
        <v>0</v>
      </c>
      <c r="Q43" s="27">
        <f t="shared" si="9"/>
        <v>0</v>
      </c>
      <c r="S43" s="27">
        <v>75.0</v>
      </c>
      <c r="T43" s="27">
        <v>1.0</v>
      </c>
      <c r="U43" s="27">
        <v>0.0</v>
      </c>
      <c r="V43" s="27">
        <v>0.0</v>
      </c>
      <c r="W43" s="27">
        <v>0.0</v>
      </c>
      <c r="X43" s="27">
        <v>0.0</v>
      </c>
      <c r="Y43" s="27">
        <v>0.0</v>
      </c>
      <c r="Z43" s="27">
        <v>0.0</v>
      </c>
      <c r="AA43" s="27">
        <v>0.0</v>
      </c>
      <c r="AC43" s="27">
        <v>75.0</v>
      </c>
      <c r="AD43" s="27">
        <f t="shared" ref="AD43:AK43" si="50">T43/$S$1</f>
        <v>0.01724137931</v>
      </c>
      <c r="AE43" s="27">
        <f t="shared" si="50"/>
        <v>0</v>
      </c>
      <c r="AF43" s="27">
        <f t="shared" si="50"/>
        <v>0</v>
      </c>
      <c r="AG43" s="27">
        <f t="shared" si="50"/>
        <v>0</v>
      </c>
      <c r="AH43" s="27">
        <f t="shared" si="50"/>
        <v>0</v>
      </c>
      <c r="AI43" s="27">
        <f t="shared" si="50"/>
        <v>0</v>
      </c>
      <c r="AJ43" s="27">
        <f t="shared" si="50"/>
        <v>0</v>
      </c>
      <c r="AK43" s="27">
        <f t="shared" si="50"/>
        <v>0</v>
      </c>
    </row>
    <row r="44" ht="15.75" customHeight="1">
      <c r="A44" s="27">
        <v>19.0</v>
      </c>
      <c r="B44" s="27"/>
      <c r="C44" s="27">
        <f t="shared" si="2"/>
        <v>0</v>
      </c>
      <c r="D44" s="27">
        <v>22.0</v>
      </c>
      <c r="E44" s="27">
        <f t="shared" si="3"/>
        <v>0</v>
      </c>
      <c r="F44" s="27">
        <v>89.0</v>
      </c>
      <c r="G44" s="27">
        <f t="shared" si="4"/>
        <v>0</v>
      </c>
      <c r="H44" s="27">
        <v>2.0</v>
      </c>
      <c r="I44" s="27">
        <f t="shared" si="5"/>
        <v>0</v>
      </c>
      <c r="J44" s="27">
        <v>25.0</v>
      </c>
      <c r="K44" s="27">
        <f t="shared" si="6"/>
        <v>0</v>
      </c>
      <c r="M44" s="27">
        <f t="shared" si="7"/>
        <v>0</v>
      </c>
      <c r="O44" s="27">
        <f t="shared" si="8"/>
        <v>0</v>
      </c>
      <c r="Q44" s="27">
        <f t="shared" si="9"/>
        <v>0</v>
      </c>
      <c r="S44" s="27">
        <v>80.0</v>
      </c>
      <c r="T44" s="27">
        <v>1.0</v>
      </c>
      <c r="U44" s="27">
        <v>0.0</v>
      </c>
      <c r="V44" s="27">
        <v>0.0</v>
      </c>
      <c r="W44" s="27">
        <v>0.0</v>
      </c>
      <c r="X44" s="27">
        <v>0.0</v>
      </c>
      <c r="Y44" s="27">
        <v>0.0</v>
      </c>
      <c r="Z44" s="27">
        <v>0.0</v>
      </c>
      <c r="AA44" s="27">
        <v>0.0</v>
      </c>
      <c r="AC44" s="27">
        <v>80.0</v>
      </c>
      <c r="AD44" s="27">
        <f t="shared" ref="AD44:AK44" si="51">T44/$S$1</f>
        <v>0.01724137931</v>
      </c>
      <c r="AE44" s="27">
        <f t="shared" si="51"/>
        <v>0</v>
      </c>
      <c r="AF44" s="27">
        <f t="shared" si="51"/>
        <v>0</v>
      </c>
      <c r="AG44" s="27">
        <f t="shared" si="51"/>
        <v>0</v>
      </c>
      <c r="AH44" s="27">
        <f t="shared" si="51"/>
        <v>0</v>
      </c>
      <c r="AI44" s="27">
        <f t="shared" si="51"/>
        <v>0</v>
      </c>
      <c r="AJ44" s="27">
        <f t="shared" si="51"/>
        <v>0</v>
      </c>
      <c r="AK44" s="27">
        <f t="shared" si="51"/>
        <v>0</v>
      </c>
    </row>
    <row r="45" ht="15.75" customHeight="1">
      <c r="A45" s="27">
        <v>19.0</v>
      </c>
      <c r="B45" s="27"/>
      <c r="C45" s="27">
        <f t="shared" si="2"/>
        <v>0</v>
      </c>
      <c r="D45" s="27">
        <v>21.0</v>
      </c>
      <c r="E45" s="27">
        <f t="shared" si="3"/>
        <v>0</v>
      </c>
      <c r="F45" s="27">
        <v>45.0</v>
      </c>
      <c r="G45" s="27">
        <f t="shared" si="4"/>
        <v>0</v>
      </c>
      <c r="H45" s="27">
        <v>25.0</v>
      </c>
      <c r="I45" s="27">
        <f t="shared" si="5"/>
        <v>0</v>
      </c>
      <c r="J45" s="27">
        <v>54.0</v>
      </c>
      <c r="K45" s="27">
        <f t="shared" si="6"/>
        <v>0</v>
      </c>
      <c r="M45" s="27">
        <f t="shared" si="7"/>
        <v>0</v>
      </c>
      <c r="O45" s="27">
        <f t="shared" si="8"/>
        <v>0</v>
      </c>
      <c r="Q45" s="27">
        <f t="shared" si="9"/>
        <v>0</v>
      </c>
      <c r="S45" s="27">
        <v>87.0</v>
      </c>
      <c r="T45" s="27">
        <v>2.0</v>
      </c>
      <c r="U45" s="27">
        <v>0.0</v>
      </c>
      <c r="V45" s="27">
        <v>1.0</v>
      </c>
      <c r="W45" s="27">
        <v>0.0</v>
      </c>
      <c r="X45" s="27">
        <v>0.0</v>
      </c>
      <c r="Y45" s="27">
        <v>1.0</v>
      </c>
      <c r="Z45" s="27">
        <v>1.0</v>
      </c>
      <c r="AA45" s="27">
        <v>0.0</v>
      </c>
      <c r="AC45" s="27">
        <v>87.0</v>
      </c>
      <c r="AD45" s="27">
        <f t="shared" ref="AD45:AK45" si="52">T45/$S$1</f>
        <v>0.03448275862</v>
      </c>
      <c r="AE45" s="27">
        <f t="shared" si="52"/>
        <v>0</v>
      </c>
      <c r="AF45" s="27">
        <f t="shared" si="52"/>
        <v>0.01724137931</v>
      </c>
      <c r="AG45" s="27">
        <f t="shared" si="52"/>
        <v>0</v>
      </c>
      <c r="AH45" s="27">
        <f t="shared" si="52"/>
        <v>0</v>
      </c>
      <c r="AI45" s="27">
        <f t="shared" si="52"/>
        <v>0.01724137931</v>
      </c>
      <c r="AJ45" s="27">
        <f t="shared" si="52"/>
        <v>0.01724137931</v>
      </c>
      <c r="AK45" s="27">
        <f t="shared" si="52"/>
        <v>0</v>
      </c>
    </row>
    <row r="46" ht="15.75" customHeight="1">
      <c r="A46" s="27">
        <v>45.0</v>
      </c>
      <c r="B46" s="27"/>
      <c r="C46" s="27">
        <f t="shared" si="2"/>
        <v>0</v>
      </c>
      <c r="D46" s="27">
        <v>50.0</v>
      </c>
      <c r="E46" s="27">
        <f t="shared" si="3"/>
        <v>0</v>
      </c>
      <c r="F46" s="27">
        <v>92.0</v>
      </c>
      <c r="G46" s="27">
        <f t="shared" si="4"/>
        <v>0</v>
      </c>
      <c r="H46" s="27">
        <v>25.0</v>
      </c>
      <c r="I46" s="27">
        <f t="shared" si="5"/>
        <v>0</v>
      </c>
      <c r="J46" s="27">
        <v>35.0</v>
      </c>
      <c r="K46" s="27">
        <f t="shared" si="6"/>
        <v>0</v>
      </c>
      <c r="M46" s="27">
        <f t="shared" si="7"/>
        <v>0</v>
      </c>
      <c r="O46" s="27">
        <f t="shared" si="8"/>
        <v>0</v>
      </c>
      <c r="Q46" s="27">
        <f t="shared" si="9"/>
        <v>0</v>
      </c>
      <c r="S46" s="27">
        <v>88.0</v>
      </c>
      <c r="T46" s="27">
        <v>1.0</v>
      </c>
      <c r="U46" s="27">
        <v>0.0</v>
      </c>
      <c r="V46" s="27">
        <v>1.0</v>
      </c>
      <c r="W46" s="27">
        <v>0.0</v>
      </c>
      <c r="X46" s="27">
        <v>0.0</v>
      </c>
      <c r="Y46" s="27">
        <v>1.0</v>
      </c>
      <c r="Z46" s="27">
        <v>1.0</v>
      </c>
      <c r="AA46" s="27">
        <v>0.0</v>
      </c>
      <c r="AC46" s="27">
        <v>88.0</v>
      </c>
      <c r="AD46" s="27">
        <f t="shared" ref="AD46:AK46" si="53">T46/$S$1</f>
        <v>0.01724137931</v>
      </c>
      <c r="AE46" s="27">
        <f t="shared" si="53"/>
        <v>0</v>
      </c>
      <c r="AF46" s="27">
        <f t="shared" si="53"/>
        <v>0.01724137931</v>
      </c>
      <c r="AG46" s="27">
        <f t="shared" si="53"/>
        <v>0</v>
      </c>
      <c r="AH46" s="27">
        <f t="shared" si="53"/>
        <v>0</v>
      </c>
      <c r="AI46" s="27">
        <f t="shared" si="53"/>
        <v>0.01724137931</v>
      </c>
      <c r="AJ46" s="27">
        <f t="shared" si="53"/>
        <v>0.01724137931</v>
      </c>
      <c r="AK46" s="27">
        <f t="shared" si="53"/>
        <v>0</v>
      </c>
    </row>
    <row r="47" ht="15.75" customHeight="1">
      <c r="A47" s="27">
        <v>22.0</v>
      </c>
      <c r="B47" s="27"/>
      <c r="C47" s="27">
        <f t="shared" si="2"/>
        <v>0</v>
      </c>
      <c r="D47" s="27">
        <v>60.0</v>
      </c>
      <c r="E47" s="27">
        <f t="shared" si="3"/>
        <v>0</v>
      </c>
      <c r="F47" s="27">
        <v>93.0</v>
      </c>
      <c r="G47" s="27">
        <f t="shared" si="4"/>
        <v>0</v>
      </c>
      <c r="H47" s="27">
        <v>65.0</v>
      </c>
      <c r="I47" s="27">
        <f t="shared" si="5"/>
        <v>0</v>
      </c>
      <c r="J47" s="27">
        <v>22.0</v>
      </c>
      <c r="K47" s="27">
        <f t="shared" si="6"/>
        <v>0</v>
      </c>
      <c r="M47" s="27">
        <f t="shared" si="7"/>
        <v>0</v>
      </c>
      <c r="O47" s="27">
        <f t="shared" si="8"/>
        <v>0</v>
      </c>
      <c r="Q47" s="27">
        <f t="shared" si="9"/>
        <v>0</v>
      </c>
      <c r="S47" s="27">
        <v>89.0</v>
      </c>
      <c r="T47" s="27">
        <v>1.0</v>
      </c>
      <c r="U47" s="27">
        <v>0.0</v>
      </c>
      <c r="V47" s="27">
        <v>1.0</v>
      </c>
      <c r="W47" s="27">
        <v>0.0</v>
      </c>
      <c r="X47" s="27">
        <v>0.0</v>
      </c>
      <c r="Y47" s="27">
        <v>1.0</v>
      </c>
      <c r="Z47" s="27">
        <v>1.0</v>
      </c>
      <c r="AA47" s="27">
        <v>0.0</v>
      </c>
      <c r="AC47" s="27">
        <v>89.0</v>
      </c>
      <c r="AD47" s="27">
        <f t="shared" ref="AD47:AK47" si="54">T47/$S$1</f>
        <v>0.01724137931</v>
      </c>
      <c r="AE47" s="27">
        <f t="shared" si="54"/>
        <v>0</v>
      </c>
      <c r="AF47" s="27">
        <f t="shared" si="54"/>
        <v>0.01724137931</v>
      </c>
      <c r="AG47" s="27">
        <f t="shared" si="54"/>
        <v>0</v>
      </c>
      <c r="AH47" s="27">
        <f t="shared" si="54"/>
        <v>0</v>
      </c>
      <c r="AI47" s="27">
        <f t="shared" si="54"/>
        <v>0.01724137931</v>
      </c>
      <c r="AJ47" s="27">
        <f t="shared" si="54"/>
        <v>0.01724137931</v>
      </c>
      <c r="AK47" s="27">
        <f t="shared" si="54"/>
        <v>0</v>
      </c>
    </row>
    <row r="48" ht="15.75" customHeight="1">
      <c r="A48" s="27">
        <v>10.0</v>
      </c>
      <c r="B48" s="27"/>
      <c r="C48" s="27">
        <f t="shared" si="2"/>
        <v>0</v>
      </c>
      <c r="D48" s="27">
        <v>2.0</v>
      </c>
      <c r="E48" s="27">
        <f t="shared" si="3"/>
        <v>0</v>
      </c>
      <c r="F48" s="27">
        <v>98.0</v>
      </c>
      <c r="G48" s="27">
        <f t="shared" si="4"/>
        <v>0</v>
      </c>
      <c r="H48" s="27">
        <v>2.0</v>
      </c>
      <c r="I48" s="27">
        <f t="shared" si="5"/>
        <v>0</v>
      </c>
      <c r="J48" s="27">
        <v>21.0</v>
      </c>
      <c r="K48" s="27">
        <f t="shared" si="6"/>
        <v>0</v>
      </c>
      <c r="M48" s="27">
        <f t="shared" si="7"/>
        <v>0</v>
      </c>
      <c r="O48" s="27">
        <f t="shared" si="8"/>
        <v>0</v>
      </c>
      <c r="Q48" s="27">
        <f t="shared" si="9"/>
        <v>0</v>
      </c>
      <c r="S48" s="27">
        <v>91.0</v>
      </c>
      <c r="T48" s="27">
        <v>1.0</v>
      </c>
      <c r="U48" s="27">
        <v>1.0</v>
      </c>
      <c r="V48" s="27">
        <v>1.0</v>
      </c>
      <c r="W48" s="27">
        <v>0.0</v>
      </c>
      <c r="X48" s="27">
        <v>1.0</v>
      </c>
      <c r="Y48" s="27">
        <v>1.0</v>
      </c>
      <c r="Z48" s="27">
        <v>0.0</v>
      </c>
      <c r="AA48" s="27">
        <v>0.0</v>
      </c>
      <c r="AC48" s="27">
        <v>91.0</v>
      </c>
      <c r="AD48" s="27">
        <f t="shared" ref="AD48:AK48" si="55">T48/$S$1</f>
        <v>0.01724137931</v>
      </c>
      <c r="AE48" s="27">
        <f t="shared" si="55"/>
        <v>0.01724137931</v>
      </c>
      <c r="AF48" s="27">
        <f t="shared" si="55"/>
        <v>0.01724137931</v>
      </c>
      <c r="AG48" s="27">
        <f t="shared" si="55"/>
        <v>0</v>
      </c>
      <c r="AH48" s="27">
        <f t="shared" si="55"/>
        <v>0.01724137931</v>
      </c>
      <c r="AI48" s="27">
        <f t="shared" si="55"/>
        <v>0.01724137931</v>
      </c>
      <c r="AJ48" s="27">
        <f t="shared" si="55"/>
        <v>0</v>
      </c>
      <c r="AK48" s="27">
        <f t="shared" si="55"/>
        <v>0</v>
      </c>
    </row>
    <row r="49" ht="15.75" customHeight="1">
      <c r="A49" s="27">
        <v>10.0</v>
      </c>
      <c r="B49" s="27"/>
      <c r="C49" s="27">
        <f t="shared" si="2"/>
        <v>0</v>
      </c>
      <c r="D49" s="27">
        <v>25.0</v>
      </c>
      <c r="E49" s="27">
        <f t="shared" si="3"/>
        <v>0</v>
      </c>
      <c r="F49" s="27">
        <v>1.0</v>
      </c>
      <c r="G49" s="27">
        <f t="shared" si="4"/>
        <v>0</v>
      </c>
      <c r="H49" s="27">
        <v>67.0</v>
      </c>
      <c r="I49" s="27">
        <f t="shared" si="5"/>
        <v>0</v>
      </c>
      <c r="J49" s="27">
        <v>50.0</v>
      </c>
      <c r="K49" s="27">
        <f t="shared" si="6"/>
        <v>0</v>
      </c>
      <c r="M49" s="27">
        <f t="shared" si="7"/>
        <v>0</v>
      </c>
      <c r="O49" s="27">
        <f t="shared" si="8"/>
        <v>0</v>
      </c>
      <c r="Q49" s="27">
        <f t="shared" si="9"/>
        <v>0</v>
      </c>
      <c r="S49" s="27">
        <v>92.0</v>
      </c>
      <c r="T49" s="27">
        <v>1.0</v>
      </c>
      <c r="U49" s="27">
        <v>1.0</v>
      </c>
      <c r="V49" s="27">
        <v>1.0</v>
      </c>
      <c r="W49" s="27">
        <v>0.0</v>
      </c>
      <c r="X49" s="27">
        <v>0.0</v>
      </c>
      <c r="Y49" s="27">
        <v>0.0</v>
      </c>
      <c r="Z49" s="27">
        <v>1.0</v>
      </c>
      <c r="AA49" s="27">
        <v>0.0</v>
      </c>
      <c r="AC49" s="27">
        <v>92.0</v>
      </c>
      <c r="AD49" s="27">
        <f t="shared" ref="AD49:AK49" si="56">T49/$S$1</f>
        <v>0.01724137931</v>
      </c>
      <c r="AE49" s="27">
        <f t="shared" si="56"/>
        <v>0.01724137931</v>
      </c>
      <c r="AF49" s="27">
        <f t="shared" si="56"/>
        <v>0.01724137931</v>
      </c>
      <c r="AG49" s="27">
        <f t="shared" si="56"/>
        <v>0</v>
      </c>
      <c r="AH49" s="27">
        <f t="shared" si="56"/>
        <v>0</v>
      </c>
      <c r="AI49" s="27">
        <f t="shared" si="56"/>
        <v>0</v>
      </c>
      <c r="AJ49" s="27">
        <f t="shared" si="56"/>
        <v>0.01724137931</v>
      </c>
      <c r="AK49" s="27">
        <f t="shared" si="56"/>
        <v>0</v>
      </c>
    </row>
    <row r="50" ht="15.75" customHeight="1">
      <c r="A50" s="27">
        <v>25.0</v>
      </c>
      <c r="B50" s="27"/>
      <c r="C50" s="27">
        <f t="shared" si="2"/>
        <v>0</v>
      </c>
      <c r="D50" s="27">
        <v>25.0</v>
      </c>
      <c r="E50" s="27">
        <f t="shared" si="3"/>
        <v>0</v>
      </c>
      <c r="F50" s="27">
        <v>101.0</v>
      </c>
      <c r="G50" s="27">
        <f t="shared" si="4"/>
        <v>0</v>
      </c>
      <c r="H50" s="27">
        <v>69.0</v>
      </c>
      <c r="I50" s="27">
        <f t="shared" si="5"/>
        <v>0</v>
      </c>
      <c r="J50" s="27">
        <v>60.0</v>
      </c>
      <c r="K50" s="27">
        <f t="shared" si="6"/>
        <v>0</v>
      </c>
      <c r="M50" s="27">
        <f t="shared" si="7"/>
        <v>0</v>
      </c>
      <c r="O50" s="27">
        <f t="shared" si="8"/>
        <v>0</v>
      </c>
      <c r="Q50" s="27">
        <f t="shared" si="9"/>
        <v>0</v>
      </c>
      <c r="S50" s="27">
        <v>93.0</v>
      </c>
      <c r="T50" s="27">
        <v>1.0</v>
      </c>
      <c r="U50" s="27">
        <v>0.0</v>
      </c>
      <c r="V50" s="27">
        <v>1.0</v>
      </c>
      <c r="W50" s="27">
        <v>0.0</v>
      </c>
      <c r="X50" s="27">
        <v>1.0</v>
      </c>
      <c r="Y50" s="27">
        <v>1.0</v>
      </c>
      <c r="Z50" s="27">
        <v>1.0</v>
      </c>
      <c r="AA50" s="27">
        <v>0.0</v>
      </c>
      <c r="AC50" s="27">
        <v>93.0</v>
      </c>
      <c r="AD50" s="27">
        <f t="shared" ref="AD50:AK50" si="57">T50/$S$1</f>
        <v>0.01724137931</v>
      </c>
      <c r="AE50" s="27">
        <f t="shared" si="57"/>
        <v>0</v>
      </c>
      <c r="AF50" s="27">
        <f t="shared" si="57"/>
        <v>0.01724137931</v>
      </c>
      <c r="AG50" s="27">
        <f t="shared" si="57"/>
        <v>0</v>
      </c>
      <c r="AH50" s="27">
        <f t="shared" si="57"/>
        <v>0.01724137931</v>
      </c>
      <c r="AI50" s="27">
        <f t="shared" si="57"/>
        <v>0.01724137931</v>
      </c>
      <c r="AJ50" s="27">
        <f t="shared" si="57"/>
        <v>0.01724137931</v>
      </c>
      <c r="AK50" s="27">
        <f t="shared" si="57"/>
        <v>0</v>
      </c>
    </row>
    <row r="51" ht="15.75" customHeight="1">
      <c r="A51" s="27">
        <v>50.0</v>
      </c>
      <c r="B51" s="27"/>
      <c r="C51" s="27">
        <f t="shared" si="2"/>
        <v>0</v>
      </c>
      <c r="D51" s="27">
        <v>19.0</v>
      </c>
      <c r="E51" s="27">
        <f t="shared" si="3"/>
        <v>0</v>
      </c>
      <c r="F51" s="27">
        <v>87.0</v>
      </c>
      <c r="G51" s="27">
        <f t="shared" si="4"/>
        <v>0</v>
      </c>
      <c r="H51" s="27">
        <v>70.0</v>
      </c>
      <c r="I51" s="27">
        <f t="shared" si="5"/>
        <v>0</v>
      </c>
      <c r="J51" s="27">
        <v>2.0</v>
      </c>
      <c r="K51" s="27">
        <f t="shared" si="6"/>
        <v>0</v>
      </c>
      <c r="M51" s="27">
        <f t="shared" si="7"/>
        <v>0</v>
      </c>
      <c r="O51" s="27">
        <f t="shared" si="8"/>
        <v>0</v>
      </c>
      <c r="Q51" s="27">
        <f t="shared" si="9"/>
        <v>0</v>
      </c>
      <c r="S51" s="27">
        <v>95.0</v>
      </c>
      <c r="T51" s="27">
        <v>1.0</v>
      </c>
      <c r="U51" s="27">
        <v>1.0</v>
      </c>
      <c r="V51" s="27">
        <v>1.0</v>
      </c>
      <c r="W51" s="27">
        <v>0.0</v>
      </c>
      <c r="X51" s="27">
        <v>1.0</v>
      </c>
      <c r="Y51" s="27">
        <v>1.0</v>
      </c>
      <c r="Z51" s="27">
        <v>0.0</v>
      </c>
      <c r="AA51" s="27">
        <v>0.0</v>
      </c>
      <c r="AC51" s="27">
        <v>95.0</v>
      </c>
      <c r="AD51" s="27">
        <f t="shared" ref="AD51:AK51" si="58">T51/$S$1</f>
        <v>0.01724137931</v>
      </c>
      <c r="AE51" s="27">
        <f t="shared" si="58"/>
        <v>0.01724137931</v>
      </c>
      <c r="AF51" s="27">
        <f t="shared" si="58"/>
        <v>0.01724137931</v>
      </c>
      <c r="AG51" s="27">
        <f t="shared" si="58"/>
        <v>0</v>
      </c>
      <c r="AH51" s="27">
        <f t="shared" si="58"/>
        <v>0.01724137931</v>
      </c>
      <c r="AI51" s="27">
        <f t="shared" si="58"/>
        <v>0.01724137931</v>
      </c>
      <c r="AJ51" s="27">
        <f t="shared" si="58"/>
        <v>0</v>
      </c>
      <c r="AK51" s="27">
        <f t="shared" si="58"/>
        <v>0</v>
      </c>
    </row>
    <row r="52" ht="15.75" customHeight="1">
      <c r="A52" s="27">
        <v>10.0</v>
      </c>
      <c r="B52" s="27"/>
      <c r="C52" s="27">
        <f t="shared" si="2"/>
        <v>0</v>
      </c>
      <c r="D52" s="27">
        <v>65.0</v>
      </c>
      <c r="E52" s="27">
        <f t="shared" si="3"/>
        <v>0</v>
      </c>
      <c r="F52" s="27">
        <v>2.0</v>
      </c>
      <c r="G52" s="27">
        <f t="shared" si="4"/>
        <v>0</v>
      </c>
      <c r="H52" s="27">
        <v>25.0</v>
      </c>
      <c r="I52" s="27">
        <f t="shared" si="5"/>
        <v>0</v>
      </c>
      <c r="J52" s="27">
        <v>25.0</v>
      </c>
      <c r="K52" s="27">
        <f t="shared" si="6"/>
        <v>0</v>
      </c>
      <c r="M52" s="27">
        <f t="shared" si="7"/>
        <v>0</v>
      </c>
      <c r="O52" s="27">
        <f t="shared" si="8"/>
        <v>0</v>
      </c>
      <c r="Q52" s="27">
        <f t="shared" si="9"/>
        <v>0</v>
      </c>
      <c r="S52" s="27">
        <v>96.0</v>
      </c>
      <c r="T52" s="27">
        <v>1.0</v>
      </c>
      <c r="U52" s="27">
        <v>1.0</v>
      </c>
      <c r="V52" s="27">
        <v>1.0</v>
      </c>
      <c r="W52" s="27">
        <v>0.0</v>
      </c>
      <c r="X52" s="27">
        <v>1.0</v>
      </c>
      <c r="Y52" s="27">
        <v>1.0</v>
      </c>
      <c r="Z52" s="27">
        <v>0.0</v>
      </c>
      <c r="AA52" s="27">
        <v>0.0</v>
      </c>
      <c r="AC52" s="27">
        <v>96.0</v>
      </c>
      <c r="AD52" s="27">
        <f t="shared" ref="AD52:AK52" si="59">T52/$S$1</f>
        <v>0.01724137931</v>
      </c>
      <c r="AE52" s="27">
        <f t="shared" si="59"/>
        <v>0.01724137931</v>
      </c>
      <c r="AF52" s="27">
        <f t="shared" si="59"/>
        <v>0.01724137931</v>
      </c>
      <c r="AG52" s="27">
        <f t="shared" si="59"/>
        <v>0</v>
      </c>
      <c r="AH52" s="27">
        <f t="shared" si="59"/>
        <v>0.01724137931</v>
      </c>
      <c r="AI52" s="27">
        <f t="shared" si="59"/>
        <v>0.01724137931</v>
      </c>
      <c r="AJ52" s="27">
        <f t="shared" si="59"/>
        <v>0</v>
      </c>
      <c r="AK52" s="27">
        <f t="shared" si="59"/>
        <v>0</v>
      </c>
    </row>
    <row r="53" ht="15.75" customHeight="1">
      <c r="A53" s="27">
        <v>32.0</v>
      </c>
      <c r="B53" s="27"/>
      <c r="C53" s="27">
        <f t="shared" si="2"/>
        <v>0</v>
      </c>
      <c r="D53" s="27">
        <v>2.0</v>
      </c>
      <c r="E53" s="27">
        <f t="shared" si="3"/>
        <v>0</v>
      </c>
      <c r="G53" s="27">
        <f t="shared" si="4"/>
        <v>0</v>
      </c>
      <c r="H53" s="27">
        <v>25.0</v>
      </c>
      <c r="I53" s="27">
        <f t="shared" si="5"/>
        <v>0</v>
      </c>
      <c r="J53" s="27">
        <v>25.0</v>
      </c>
      <c r="K53" s="27">
        <f t="shared" si="6"/>
        <v>0</v>
      </c>
      <c r="M53" s="27">
        <f t="shared" si="7"/>
        <v>0</v>
      </c>
      <c r="O53" s="27">
        <f t="shared" si="8"/>
        <v>0</v>
      </c>
      <c r="Q53" s="27">
        <f t="shared" si="9"/>
        <v>0</v>
      </c>
      <c r="S53" s="27">
        <v>97.0</v>
      </c>
      <c r="T53" s="27">
        <v>1.0</v>
      </c>
      <c r="U53" s="27">
        <v>1.0</v>
      </c>
      <c r="V53" s="27">
        <v>1.0</v>
      </c>
      <c r="W53" s="27">
        <v>0.0</v>
      </c>
      <c r="X53" s="27">
        <v>0.0</v>
      </c>
      <c r="Y53" s="27">
        <v>1.0</v>
      </c>
      <c r="Z53" s="27">
        <v>0.0</v>
      </c>
      <c r="AA53" s="27">
        <v>1.0</v>
      </c>
      <c r="AC53" s="27">
        <v>97.0</v>
      </c>
      <c r="AD53" s="27">
        <f t="shared" ref="AD53:AK53" si="60">T53/$S$1</f>
        <v>0.01724137931</v>
      </c>
      <c r="AE53" s="27">
        <f t="shared" si="60"/>
        <v>0.01724137931</v>
      </c>
      <c r="AF53" s="27">
        <f t="shared" si="60"/>
        <v>0.01724137931</v>
      </c>
      <c r="AG53" s="27">
        <f t="shared" si="60"/>
        <v>0</v>
      </c>
      <c r="AH53" s="27">
        <f t="shared" si="60"/>
        <v>0</v>
      </c>
      <c r="AI53" s="27">
        <f t="shared" si="60"/>
        <v>0.01724137931</v>
      </c>
      <c r="AJ53" s="27">
        <f t="shared" si="60"/>
        <v>0</v>
      </c>
      <c r="AK53" s="27">
        <f t="shared" si="60"/>
        <v>0.01724137931</v>
      </c>
    </row>
    <row r="54" ht="15.75" customHeight="1">
      <c r="A54" s="27">
        <v>25.0</v>
      </c>
      <c r="B54" s="27"/>
      <c r="C54" s="27">
        <f t="shared" si="2"/>
        <v>0</v>
      </c>
      <c r="D54" s="27">
        <v>67.0</v>
      </c>
      <c r="E54" s="27">
        <f t="shared" si="3"/>
        <v>0</v>
      </c>
      <c r="G54" s="27">
        <f t="shared" si="4"/>
        <v>0</v>
      </c>
      <c r="H54" s="27">
        <v>73.0</v>
      </c>
      <c r="I54" s="27">
        <f t="shared" si="5"/>
        <v>0</v>
      </c>
      <c r="J54" s="27">
        <v>19.0</v>
      </c>
      <c r="K54" s="27">
        <f t="shared" si="6"/>
        <v>0</v>
      </c>
      <c r="M54" s="27">
        <f t="shared" si="7"/>
        <v>0</v>
      </c>
      <c r="O54" s="27">
        <f t="shared" si="8"/>
        <v>0</v>
      </c>
      <c r="Q54" s="27">
        <f t="shared" si="9"/>
        <v>0</v>
      </c>
      <c r="S54" s="27">
        <v>98.0</v>
      </c>
      <c r="T54" s="27">
        <v>1.0</v>
      </c>
      <c r="U54" s="27">
        <v>1.0</v>
      </c>
      <c r="V54" s="27">
        <v>1.0</v>
      </c>
      <c r="W54" s="27">
        <v>0.0</v>
      </c>
      <c r="X54" s="27">
        <v>0.0</v>
      </c>
      <c r="Y54" s="27">
        <v>1.0</v>
      </c>
      <c r="Z54" s="27">
        <v>1.0</v>
      </c>
      <c r="AA54" s="27">
        <v>1.0</v>
      </c>
      <c r="AC54" s="27">
        <v>98.0</v>
      </c>
      <c r="AD54" s="27">
        <f t="shared" ref="AD54:AK54" si="61">T54/$S$1</f>
        <v>0.01724137931</v>
      </c>
      <c r="AE54" s="27">
        <f t="shared" si="61"/>
        <v>0.01724137931</v>
      </c>
      <c r="AF54" s="27">
        <f t="shared" si="61"/>
        <v>0.01724137931</v>
      </c>
      <c r="AG54" s="27">
        <f t="shared" si="61"/>
        <v>0</v>
      </c>
      <c r="AH54" s="27">
        <f t="shared" si="61"/>
        <v>0</v>
      </c>
      <c r="AI54" s="27">
        <f t="shared" si="61"/>
        <v>0.01724137931</v>
      </c>
      <c r="AJ54" s="27">
        <f t="shared" si="61"/>
        <v>0.01724137931</v>
      </c>
      <c r="AK54" s="27">
        <f t="shared" si="61"/>
        <v>0.01724137931</v>
      </c>
    </row>
    <row r="55" ht="15.75" customHeight="1">
      <c r="A55" s="27">
        <v>54.0</v>
      </c>
      <c r="B55" s="27"/>
      <c r="C55" s="27">
        <f t="shared" si="2"/>
        <v>0</v>
      </c>
      <c r="D55" s="27">
        <v>10.0</v>
      </c>
      <c r="E55" s="27">
        <f t="shared" si="3"/>
        <v>0</v>
      </c>
      <c r="G55" s="27">
        <f t="shared" si="4"/>
        <v>0</v>
      </c>
      <c r="H55" s="27">
        <v>35.0</v>
      </c>
      <c r="I55" s="27">
        <f t="shared" si="5"/>
        <v>0</v>
      </c>
      <c r="J55" s="27">
        <v>2.0</v>
      </c>
      <c r="K55" s="27">
        <f t="shared" si="6"/>
        <v>0</v>
      </c>
      <c r="M55" s="27">
        <f t="shared" si="7"/>
        <v>0</v>
      </c>
      <c r="O55" s="27">
        <f t="shared" si="8"/>
        <v>0</v>
      </c>
      <c r="Q55" s="27">
        <f t="shared" si="9"/>
        <v>0</v>
      </c>
      <c r="S55" s="27">
        <v>100.0</v>
      </c>
      <c r="T55" s="27">
        <v>1.0</v>
      </c>
      <c r="U55" s="27">
        <v>1.0</v>
      </c>
      <c r="V55" s="27">
        <v>1.0</v>
      </c>
      <c r="W55" s="27">
        <v>0.0</v>
      </c>
      <c r="X55" s="27">
        <v>0.0</v>
      </c>
      <c r="Y55" s="27">
        <v>0.0</v>
      </c>
      <c r="Z55" s="27">
        <v>0.0</v>
      </c>
      <c r="AA55" s="27">
        <v>0.0</v>
      </c>
      <c r="AC55" s="27">
        <v>100.0</v>
      </c>
      <c r="AD55" s="27">
        <f t="shared" ref="AD55:AK55" si="62">T55/$S$1</f>
        <v>0.01724137931</v>
      </c>
      <c r="AE55" s="27">
        <f t="shared" si="62"/>
        <v>0.01724137931</v>
      </c>
      <c r="AF55" s="27">
        <f t="shared" si="62"/>
        <v>0.01724137931</v>
      </c>
      <c r="AG55" s="27">
        <f t="shared" si="62"/>
        <v>0</v>
      </c>
      <c r="AH55" s="27">
        <f t="shared" si="62"/>
        <v>0</v>
      </c>
      <c r="AI55" s="27">
        <f t="shared" si="62"/>
        <v>0</v>
      </c>
      <c r="AJ55" s="27">
        <f t="shared" si="62"/>
        <v>0</v>
      </c>
      <c r="AK55" s="27">
        <f t="shared" si="62"/>
        <v>0</v>
      </c>
    </row>
    <row r="56" ht="15.75" customHeight="1">
      <c r="A56" s="27">
        <v>10.0</v>
      </c>
      <c r="B56" s="27"/>
      <c r="C56" s="27">
        <f t="shared" si="2"/>
        <v>0</v>
      </c>
      <c r="D56" s="27">
        <v>69.0</v>
      </c>
      <c r="E56" s="27">
        <f t="shared" si="3"/>
        <v>0</v>
      </c>
      <c r="G56" s="27">
        <f t="shared" si="4"/>
        <v>0</v>
      </c>
      <c r="H56" s="27">
        <v>25.0</v>
      </c>
      <c r="I56" s="27">
        <f t="shared" si="5"/>
        <v>0</v>
      </c>
      <c r="J56" s="27">
        <v>67.0</v>
      </c>
      <c r="K56" s="27">
        <f t="shared" si="6"/>
        <v>0</v>
      </c>
      <c r="M56" s="27">
        <f t="shared" si="7"/>
        <v>0</v>
      </c>
      <c r="O56" s="27">
        <f t="shared" si="8"/>
        <v>0</v>
      </c>
      <c r="Q56" s="27">
        <f t="shared" si="9"/>
        <v>0</v>
      </c>
      <c r="S56" s="27">
        <v>101.0</v>
      </c>
      <c r="T56" s="27">
        <v>1.0</v>
      </c>
      <c r="U56" s="27">
        <v>1.0</v>
      </c>
      <c r="V56" s="27">
        <v>1.0</v>
      </c>
      <c r="W56" s="27">
        <v>1.0</v>
      </c>
      <c r="X56" s="27">
        <v>1.0</v>
      </c>
      <c r="Y56" s="27">
        <v>1.0</v>
      </c>
      <c r="Z56" s="27">
        <v>1.0</v>
      </c>
      <c r="AA56" s="27">
        <v>1.0</v>
      </c>
      <c r="AC56" s="27">
        <v>101.0</v>
      </c>
      <c r="AD56" s="27">
        <f t="shared" ref="AD56:AK56" si="63">T56/$S$1</f>
        <v>0.01724137931</v>
      </c>
      <c r="AE56" s="27">
        <f t="shared" si="63"/>
        <v>0.01724137931</v>
      </c>
      <c r="AF56" s="27">
        <f t="shared" si="63"/>
        <v>0.01724137931</v>
      </c>
      <c r="AG56" s="27">
        <f t="shared" si="63"/>
        <v>0.01724137931</v>
      </c>
      <c r="AH56" s="27">
        <f t="shared" si="63"/>
        <v>0.01724137931</v>
      </c>
      <c r="AI56" s="27">
        <f t="shared" si="63"/>
        <v>0.01724137931</v>
      </c>
      <c r="AJ56" s="27">
        <f t="shared" si="63"/>
        <v>0.01724137931</v>
      </c>
      <c r="AK56" s="27">
        <f t="shared" si="63"/>
        <v>0.01724137931</v>
      </c>
    </row>
    <row r="57" ht="15.75" customHeight="1">
      <c r="A57" s="27">
        <v>35.0</v>
      </c>
      <c r="B57" s="27"/>
      <c r="C57" s="27">
        <f t="shared" si="2"/>
        <v>0</v>
      </c>
      <c r="D57" s="27">
        <v>70.0</v>
      </c>
      <c r="E57" s="27">
        <f t="shared" si="3"/>
        <v>0</v>
      </c>
      <c r="G57" s="27">
        <f t="shared" si="4"/>
        <v>0</v>
      </c>
      <c r="H57" s="27">
        <v>20.0</v>
      </c>
      <c r="I57" s="27">
        <f t="shared" si="5"/>
        <v>0</v>
      </c>
      <c r="J57" s="27">
        <v>10.0</v>
      </c>
      <c r="K57" s="27">
        <f t="shared" si="6"/>
        <v>0</v>
      </c>
      <c r="M57" s="27">
        <f t="shared" si="7"/>
        <v>0</v>
      </c>
      <c r="O57" s="27">
        <f t="shared" si="8"/>
        <v>0</v>
      </c>
      <c r="Q57" s="27">
        <f t="shared" si="9"/>
        <v>0</v>
      </c>
      <c r="S57" s="27">
        <v>104.0</v>
      </c>
      <c r="T57" s="27">
        <v>1.0</v>
      </c>
      <c r="U57" s="27">
        <v>0.0</v>
      </c>
      <c r="V57" s="27">
        <v>1.0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C57" s="27">
        <v>104.0</v>
      </c>
      <c r="AD57" s="27">
        <f t="shared" ref="AD57:AK57" si="64">T57/$S$1</f>
        <v>0.01724137931</v>
      </c>
      <c r="AE57" s="27">
        <f t="shared" si="64"/>
        <v>0</v>
      </c>
      <c r="AF57" s="27">
        <f t="shared" si="64"/>
        <v>0.01724137931</v>
      </c>
      <c r="AG57" s="27">
        <f t="shared" si="64"/>
        <v>0</v>
      </c>
      <c r="AH57" s="27">
        <f t="shared" si="64"/>
        <v>0</v>
      </c>
      <c r="AI57" s="27">
        <f t="shared" si="64"/>
        <v>0</v>
      </c>
      <c r="AJ57" s="27">
        <f t="shared" si="64"/>
        <v>0</v>
      </c>
      <c r="AK57" s="27">
        <f t="shared" si="64"/>
        <v>0</v>
      </c>
    </row>
    <row r="58" ht="15.75" customHeight="1">
      <c r="A58" s="27">
        <v>22.0</v>
      </c>
      <c r="B58" s="27"/>
      <c r="C58" s="27">
        <f t="shared" si="2"/>
        <v>0</v>
      </c>
      <c r="D58" s="27">
        <v>25.0</v>
      </c>
      <c r="E58" s="27">
        <f t="shared" si="3"/>
        <v>0</v>
      </c>
      <c r="G58" s="27">
        <f t="shared" si="4"/>
        <v>0</v>
      </c>
      <c r="H58" s="27">
        <v>29.0</v>
      </c>
      <c r="I58" s="27">
        <f t="shared" si="5"/>
        <v>0</v>
      </c>
      <c r="J58" s="27">
        <v>69.0</v>
      </c>
      <c r="K58" s="27">
        <f t="shared" si="6"/>
        <v>0</v>
      </c>
      <c r="M58" s="27">
        <f t="shared" si="7"/>
        <v>0</v>
      </c>
      <c r="O58" s="27">
        <f t="shared" si="8"/>
        <v>0</v>
      </c>
      <c r="Q58" s="27">
        <f t="shared" si="9"/>
        <v>0</v>
      </c>
      <c r="S58" s="27">
        <v>106.0</v>
      </c>
      <c r="T58" s="27">
        <v>1.0</v>
      </c>
      <c r="U58" s="27">
        <v>1.0</v>
      </c>
      <c r="V58" s="27">
        <v>1.0</v>
      </c>
      <c r="W58" s="27">
        <v>1.0</v>
      </c>
      <c r="X58" s="27">
        <v>1.0</v>
      </c>
      <c r="Y58" s="27">
        <v>1.0</v>
      </c>
      <c r="Z58" s="27">
        <v>0.0</v>
      </c>
      <c r="AA58" s="27">
        <v>0.0</v>
      </c>
      <c r="AC58" s="27">
        <v>106.0</v>
      </c>
      <c r="AD58" s="27">
        <f t="shared" ref="AD58:AK58" si="65">T58/$S$1</f>
        <v>0.01724137931</v>
      </c>
      <c r="AE58" s="27">
        <f t="shared" si="65"/>
        <v>0.01724137931</v>
      </c>
      <c r="AF58" s="27">
        <f t="shared" si="65"/>
        <v>0.01724137931</v>
      </c>
      <c r="AG58" s="27">
        <f t="shared" si="65"/>
        <v>0.01724137931</v>
      </c>
      <c r="AH58" s="27">
        <f t="shared" si="65"/>
        <v>0.01724137931</v>
      </c>
      <c r="AI58" s="27">
        <f t="shared" si="65"/>
        <v>0.01724137931</v>
      </c>
      <c r="AJ58" s="27">
        <f t="shared" si="65"/>
        <v>0</v>
      </c>
      <c r="AK58" s="27">
        <f t="shared" si="65"/>
        <v>0</v>
      </c>
    </row>
    <row r="59" ht="15.75" customHeight="1">
      <c r="A59" s="27">
        <v>21.0</v>
      </c>
      <c r="B59" s="27"/>
      <c r="C59" s="27">
        <f t="shared" si="2"/>
        <v>0</v>
      </c>
      <c r="D59" s="27">
        <v>25.0</v>
      </c>
      <c r="E59" s="27">
        <f t="shared" si="3"/>
        <v>0</v>
      </c>
      <c r="G59" s="27">
        <f t="shared" si="4"/>
        <v>0</v>
      </c>
      <c r="H59" s="27">
        <v>35.0</v>
      </c>
      <c r="I59" s="27">
        <f t="shared" si="5"/>
        <v>0</v>
      </c>
      <c r="J59" s="27">
        <v>70.0</v>
      </c>
      <c r="K59" s="27">
        <f t="shared" si="6"/>
        <v>0</v>
      </c>
      <c r="M59" s="27">
        <f t="shared" si="7"/>
        <v>0</v>
      </c>
      <c r="O59" s="27">
        <f t="shared" si="8"/>
        <v>0</v>
      </c>
      <c r="Q59" s="27">
        <f t="shared" si="9"/>
        <v>0</v>
      </c>
      <c r="S59" s="27">
        <v>107.0</v>
      </c>
      <c r="T59" s="27">
        <v>1.0</v>
      </c>
      <c r="U59" s="27">
        <v>0.0</v>
      </c>
      <c r="V59" s="27">
        <v>1.0</v>
      </c>
      <c r="W59" s="27">
        <v>0.0</v>
      </c>
      <c r="X59" s="27">
        <v>0.0</v>
      </c>
      <c r="Y59" s="27">
        <v>1.0</v>
      </c>
      <c r="Z59" s="27">
        <v>0.0</v>
      </c>
      <c r="AA59" s="27">
        <v>0.0</v>
      </c>
      <c r="AC59" s="27">
        <v>107.0</v>
      </c>
      <c r="AD59" s="27">
        <f t="shared" ref="AD59:AK59" si="66">T59/$S$1</f>
        <v>0.01724137931</v>
      </c>
      <c r="AE59" s="27">
        <f t="shared" si="66"/>
        <v>0</v>
      </c>
      <c r="AF59" s="27">
        <f t="shared" si="66"/>
        <v>0.01724137931</v>
      </c>
      <c r="AG59" s="27">
        <f t="shared" si="66"/>
        <v>0</v>
      </c>
      <c r="AH59" s="27">
        <f t="shared" si="66"/>
        <v>0</v>
      </c>
      <c r="AI59" s="27">
        <f t="shared" si="66"/>
        <v>0.01724137931</v>
      </c>
      <c r="AJ59" s="27">
        <f t="shared" si="66"/>
        <v>0</v>
      </c>
      <c r="AK59" s="27">
        <f t="shared" si="66"/>
        <v>0</v>
      </c>
    </row>
    <row r="60" ht="15.75" customHeight="1">
      <c r="A60" s="27">
        <v>50.0</v>
      </c>
      <c r="B60" s="27"/>
      <c r="D60" s="27">
        <v>73.0</v>
      </c>
      <c r="H60" s="27">
        <v>25.0</v>
      </c>
      <c r="J60" s="27">
        <v>25.0</v>
      </c>
    </row>
    <row r="61" ht="15.75" customHeight="1">
      <c r="A61" s="27">
        <v>60.0</v>
      </c>
      <c r="D61" s="27">
        <v>35.0</v>
      </c>
      <c r="H61" s="27">
        <v>45.0</v>
      </c>
      <c r="J61" s="27">
        <v>25.0</v>
      </c>
    </row>
    <row r="62" ht="15.75" customHeight="1">
      <c r="A62" s="27">
        <v>2.0</v>
      </c>
      <c r="D62" s="27">
        <v>10.0</v>
      </c>
      <c r="H62" s="27">
        <v>25.0</v>
      </c>
      <c r="J62" s="27">
        <v>73.0</v>
      </c>
    </row>
    <row r="63" ht="15.75" customHeight="1">
      <c r="A63" s="27">
        <v>25.0</v>
      </c>
      <c r="D63" s="27">
        <v>25.0</v>
      </c>
      <c r="H63" s="27">
        <v>45.0</v>
      </c>
      <c r="J63" s="27">
        <v>35.0</v>
      </c>
    </row>
    <row r="64" ht="15.75" customHeight="1">
      <c r="A64" s="27">
        <v>25.0</v>
      </c>
      <c r="D64" s="27">
        <v>19.0</v>
      </c>
      <c r="H64" s="27">
        <v>91.0</v>
      </c>
      <c r="J64" s="27">
        <v>10.0</v>
      </c>
    </row>
    <row r="65" ht="15.75" customHeight="1">
      <c r="A65" s="27">
        <v>19.0</v>
      </c>
      <c r="D65" s="27">
        <v>20.0</v>
      </c>
      <c r="H65" s="27">
        <v>92.0</v>
      </c>
      <c r="J65" s="27">
        <v>25.0</v>
      </c>
    </row>
    <row r="66" ht="15.75" customHeight="1">
      <c r="A66" s="27">
        <v>65.0</v>
      </c>
      <c r="D66" s="27">
        <v>29.0</v>
      </c>
      <c r="H66" s="27">
        <v>1.0</v>
      </c>
      <c r="J66" s="27">
        <v>20.0</v>
      </c>
    </row>
    <row r="67" ht="15.75" customHeight="1">
      <c r="A67" s="27">
        <v>2.0</v>
      </c>
      <c r="D67" s="27">
        <v>35.0</v>
      </c>
      <c r="H67" s="27">
        <v>95.0</v>
      </c>
      <c r="J67" s="27">
        <v>29.0</v>
      </c>
    </row>
    <row r="68" ht="15.75" customHeight="1">
      <c r="A68" s="27">
        <v>67.0</v>
      </c>
      <c r="D68" s="27">
        <v>25.0</v>
      </c>
      <c r="H68" s="27">
        <v>96.0</v>
      </c>
      <c r="J68" s="27">
        <v>19.0</v>
      </c>
    </row>
    <row r="69" ht="15.75" customHeight="1">
      <c r="A69" s="27">
        <v>10.0</v>
      </c>
      <c r="D69" s="27">
        <v>45.0</v>
      </c>
      <c r="H69" s="27">
        <v>97.0</v>
      </c>
      <c r="J69" s="27">
        <v>35.0</v>
      </c>
    </row>
    <row r="70" ht="15.75" customHeight="1">
      <c r="A70" s="27">
        <v>69.0</v>
      </c>
      <c r="D70" s="27">
        <v>25.0</v>
      </c>
      <c r="H70" s="27">
        <v>98.0</v>
      </c>
      <c r="J70" s="27">
        <v>25.0</v>
      </c>
    </row>
    <row r="71" ht="15.75" customHeight="1">
      <c r="A71" s="27">
        <v>70.0</v>
      </c>
      <c r="D71" s="27">
        <v>88.0</v>
      </c>
      <c r="H71" s="27">
        <v>1.0</v>
      </c>
      <c r="J71" s="27">
        <v>45.0</v>
      </c>
    </row>
    <row r="72" ht="15.75" customHeight="1">
      <c r="A72" s="27">
        <v>25.0</v>
      </c>
      <c r="D72" s="27">
        <v>89.0</v>
      </c>
      <c r="H72" s="27">
        <v>100.0</v>
      </c>
      <c r="J72" s="27">
        <v>25.0</v>
      </c>
    </row>
    <row r="73" ht="15.75" customHeight="1">
      <c r="A73" s="27">
        <v>25.0</v>
      </c>
      <c r="D73" s="27">
        <v>45.0</v>
      </c>
      <c r="H73" s="27">
        <v>101.0</v>
      </c>
      <c r="J73" s="27">
        <v>88.0</v>
      </c>
    </row>
    <row r="74" ht="15.75" customHeight="1">
      <c r="A74" s="27">
        <v>73.0</v>
      </c>
      <c r="D74" s="27">
        <v>91.0</v>
      </c>
      <c r="H74" s="27">
        <v>1.0</v>
      </c>
      <c r="J74" s="27">
        <v>89.0</v>
      </c>
    </row>
    <row r="75" ht="15.75" customHeight="1">
      <c r="A75" s="27">
        <v>35.0</v>
      </c>
      <c r="D75" s="27">
        <v>93.0</v>
      </c>
      <c r="H75" s="27">
        <v>2.0</v>
      </c>
      <c r="J75" s="27">
        <v>45.0</v>
      </c>
    </row>
    <row r="76" ht="15.75" customHeight="1">
      <c r="A76" s="27">
        <v>75.0</v>
      </c>
      <c r="D76" s="27">
        <v>1.0</v>
      </c>
      <c r="H76" s="27">
        <v>106.0</v>
      </c>
      <c r="J76" s="27">
        <v>91.0</v>
      </c>
    </row>
    <row r="77" ht="15.75" customHeight="1">
      <c r="A77" s="27">
        <v>10.0</v>
      </c>
      <c r="D77" s="27">
        <v>95.0</v>
      </c>
      <c r="J77" s="27">
        <v>92.0</v>
      </c>
    </row>
    <row r="78" ht="15.75" customHeight="1">
      <c r="A78" s="27">
        <v>25.0</v>
      </c>
      <c r="D78" s="27">
        <v>96.0</v>
      </c>
      <c r="J78" s="27">
        <v>93.0</v>
      </c>
    </row>
    <row r="79" ht="15.75" customHeight="1">
      <c r="A79" s="27">
        <v>19.0</v>
      </c>
      <c r="D79" s="27">
        <v>97.0</v>
      </c>
      <c r="J79" s="27">
        <v>1.0</v>
      </c>
    </row>
    <row r="80" ht="15.75" customHeight="1">
      <c r="A80" s="27">
        <v>20.0</v>
      </c>
      <c r="D80" s="27">
        <v>98.0</v>
      </c>
      <c r="J80" s="27">
        <v>95.0</v>
      </c>
    </row>
    <row r="81" ht="15.75" customHeight="1">
      <c r="A81" s="27">
        <v>80.0</v>
      </c>
      <c r="D81" s="27">
        <v>1.0</v>
      </c>
      <c r="J81" s="27">
        <v>96.0</v>
      </c>
    </row>
    <row r="82" ht="15.75" customHeight="1">
      <c r="A82" s="27">
        <v>29.0</v>
      </c>
      <c r="D82" s="27">
        <v>101.0</v>
      </c>
      <c r="J82" s="27">
        <v>97.0</v>
      </c>
    </row>
    <row r="83" ht="15.75" customHeight="1">
      <c r="A83" s="27">
        <v>19.0</v>
      </c>
      <c r="D83" s="27">
        <v>1.0</v>
      </c>
      <c r="J83" s="27">
        <v>98.0</v>
      </c>
    </row>
    <row r="84" ht="15.75" customHeight="1">
      <c r="A84" s="27">
        <v>35.0</v>
      </c>
      <c r="D84" s="27">
        <v>87.0</v>
      </c>
      <c r="J84" s="27">
        <v>1.0</v>
      </c>
    </row>
    <row r="85" ht="15.75" customHeight="1">
      <c r="A85" s="27">
        <v>25.0</v>
      </c>
      <c r="D85" s="27">
        <v>2.0</v>
      </c>
      <c r="J85" s="27">
        <v>100.0</v>
      </c>
    </row>
    <row r="86" ht="15.75" customHeight="1">
      <c r="A86" s="27">
        <v>45.0</v>
      </c>
      <c r="D86" s="27">
        <v>106.0</v>
      </c>
      <c r="J86" s="27">
        <v>101.0</v>
      </c>
    </row>
    <row r="87" ht="15.75" customHeight="1">
      <c r="A87" s="27">
        <v>25.0</v>
      </c>
      <c r="D87" s="27">
        <v>107.0</v>
      </c>
      <c r="J87" s="27">
        <v>1.0</v>
      </c>
    </row>
    <row r="88" ht="15.75" customHeight="1">
      <c r="A88" s="27">
        <v>87.0</v>
      </c>
      <c r="J88" s="27">
        <v>87.0</v>
      </c>
    </row>
    <row r="89" ht="15.75" customHeight="1">
      <c r="A89" s="27">
        <v>88.0</v>
      </c>
      <c r="J89" s="27">
        <v>104.0</v>
      </c>
    </row>
    <row r="90" ht="15.75" customHeight="1">
      <c r="A90" s="27">
        <v>89.0</v>
      </c>
      <c r="J90" s="27">
        <v>2.0</v>
      </c>
    </row>
    <row r="91" ht="15.75" customHeight="1">
      <c r="A91" s="27">
        <v>45.0</v>
      </c>
      <c r="J91" s="27">
        <v>106.0</v>
      </c>
    </row>
    <row r="92" ht="15.75" customHeight="1">
      <c r="A92" s="27">
        <v>91.0</v>
      </c>
      <c r="J92" s="27">
        <v>107.0</v>
      </c>
    </row>
    <row r="93" ht="15.75" customHeight="1">
      <c r="A93" s="27">
        <v>92.0</v>
      </c>
    </row>
    <row r="94" ht="15.75" customHeight="1">
      <c r="A94" s="27">
        <v>93.0</v>
      </c>
    </row>
    <row r="95" ht="15.75" customHeight="1">
      <c r="A95" s="27">
        <v>1.0</v>
      </c>
    </row>
    <row r="96" ht="15.75" customHeight="1">
      <c r="A96" s="27">
        <v>95.0</v>
      </c>
    </row>
    <row r="97" ht="15.75" customHeight="1">
      <c r="A97" s="27">
        <v>96.0</v>
      </c>
    </row>
    <row r="98" ht="15.75" customHeight="1">
      <c r="A98" s="27">
        <v>97.0</v>
      </c>
    </row>
    <row r="99" ht="15.75" customHeight="1">
      <c r="A99" s="27">
        <v>98.0</v>
      </c>
    </row>
    <row r="100" ht="15.75" customHeight="1">
      <c r="A100" s="27">
        <v>1.0</v>
      </c>
    </row>
    <row r="101" ht="15.75" customHeight="1">
      <c r="A101" s="27">
        <v>100.0</v>
      </c>
    </row>
    <row r="102" ht="15.75" customHeight="1">
      <c r="A102" s="27">
        <v>101.0</v>
      </c>
    </row>
    <row r="103" ht="15.75" customHeight="1">
      <c r="A103" s="27">
        <v>1.0</v>
      </c>
    </row>
    <row r="104" ht="15.75" customHeight="1">
      <c r="A104" s="27">
        <v>87.0</v>
      </c>
    </row>
    <row r="105" ht="15.75" customHeight="1">
      <c r="A105" s="27">
        <v>104.0</v>
      </c>
    </row>
    <row r="106" ht="15.75" customHeight="1">
      <c r="A106" s="27">
        <v>2.0</v>
      </c>
    </row>
    <row r="107" ht="15.75" customHeight="1">
      <c r="A107" s="27">
        <v>106.0</v>
      </c>
    </row>
    <row r="108" ht="15.75" customHeight="1">
      <c r="A108" s="27">
        <v>107.0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2.86"/>
    <col customWidth="1" min="5" max="38" width="8.86"/>
  </cols>
  <sheetData>
    <row r="1">
      <c r="A1" s="27" t="s">
        <v>89</v>
      </c>
      <c r="B1" s="27" t="str">
        <f t="array" ref="B1">_xludf.UNIQUE(A:A)</f>
        <v>#NAME?</v>
      </c>
      <c r="C1" s="27" t="s">
        <v>89</v>
      </c>
      <c r="D1" s="33" t="s">
        <v>34</v>
      </c>
      <c r="E1" s="33" t="s">
        <v>34</v>
      </c>
      <c r="F1" s="33" t="s">
        <v>35</v>
      </c>
      <c r="G1" s="33" t="s">
        <v>35</v>
      </c>
      <c r="H1" s="27" t="s">
        <v>90</v>
      </c>
      <c r="I1" s="27" t="s">
        <v>90</v>
      </c>
      <c r="J1" s="27" t="s">
        <v>94</v>
      </c>
      <c r="K1" s="27" t="s">
        <v>94</v>
      </c>
      <c r="L1" s="27" t="s">
        <v>96</v>
      </c>
      <c r="M1" s="27" t="s">
        <v>96</v>
      </c>
      <c r="N1" s="27" t="s">
        <v>95</v>
      </c>
      <c r="O1" s="27" t="s">
        <v>95</v>
      </c>
      <c r="P1" s="27" t="s">
        <v>97</v>
      </c>
      <c r="Q1" s="27" t="s">
        <v>97</v>
      </c>
      <c r="S1" s="27">
        <f>COUNT(S2:S21)</f>
        <v>20</v>
      </c>
      <c r="T1" s="27" t="s">
        <v>89</v>
      </c>
      <c r="U1" s="27" t="s">
        <v>90</v>
      </c>
      <c r="V1" s="27" t="s">
        <v>94</v>
      </c>
      <c r="W1" s="27" t="s">
        <v>95</v>
      </c>
      <c r="X1" s="27" t="s">
        <v>96</v>
      </c>
      <c r="Y1" s="33" t="s">
        <v>34</v>
      </c>
      <c r="Z1" s="33" t="s">
        <v>35</v>
      </c>
      <c r="AA1" s="27" t="s">
        <v>97</v>
      </c>
      <c r="AE1" s="27" t="s">
        <v>89</v>
      </c>
      <c r="AF1" s="27" t="s">
        <v>90</v>
      </c>
      <c r="AG1" s="27" t="s">
        <v>94</v>
      </c>
      <c r="AH1" s="27" t="s">
        <v>95</v>
      </c>
      <c r="AI1" s="27" t="s">
        <v>96</v>
      </c>
      <c r="AJ1" s="27" t="s">
        <v>98</v>
      </c>
      <c r="AK1" s="27" t="s">
        <v>99</v>
      </c>
      <c r="AL1" s="27" t="s">
        <v>97</v>
      </c>
    </row>
    <row r="2">
      <c r="A2" s="27">
        <v>1.0</v>
      </c>
      <c r="B2" s="27"/>
      <c r="C2" s="27">
        <f t="shared" ref="C2:C21" si="2">COUNTIF(A:A, $B2)</f>
        <v>0</v>
      </c>
      <c r="D2" s="27">
        <v>1.0</v>
      </c>
      <c r="E2" s="27">
        <f t="shared" ref="E2:E21" si="3">COUNTIF(D:D,$B2)</f>
        <v>0</v>
      </c>
      <c r="F2" s="27">
        <v>2.0</v>
      </c>
      <c r="G2" s="27">
        <f t="shared" ref="G2:G21" si="4">COUNTIF(F:F,$B2)</f>
        <v>0</v>
      </c>
      <c r="H2" s="27">
        <v>2.0</v>
      </c>
      <c r="I2" s="27">
        <f t="shared" ref="I2:I21" si="5">COUNTIF(H:H,$B2)</f>
        <v>0</v>
      </c>
      <c r="J2" s="27">
        <v>2.0</v>
      </c>
      <c r="K2" s="27">
        <f t="shared" ref="K2:K21" si="6">COUNTIF(J:J,$B2)</f>
        <v>0</v>
      </c>
      <c r="L2" s="27">
        <v>2.0</v>
      </c>
      <c r="M2" s="27">
        <f t="shared" ref="M2:M21" si="7">COUNTIF(L:L,$B2)</f>
        <v>0</v>
      </c>
      <c r="N2" s="27">
        <v>4.0</v>
      </c>
      <c r="O2" s="27">
        <f t="shared" ref="O2:O21" si="8">COUNTIF(N:N,$B2)</f>
        <v>0</v>
      </c>
      <c r="P2" s="27">
        <v>2.0</v>
      </c>
      <c r="Q2" s="27">
        <f t="shared" ref="Q2:Q21" si="9">COUNTIF(P:P,$B2)</f>
        <v>0</v>
      </c>
      <c r="S2" s="27">
        <v>1.0</v>
      </c>
      <c r="T2" s="27">
        <v>1.0</v>
      </c>
      <c r="U2" s="27">
        <v>0.0</v>
      </c>
      <c r="V2" s="27">
        <v>0.0</v>
      </c>
      <c r="W2" s="27">
        <v>0.0</v>
      </c>
      <c r="X2" s="27">
        <v>0.0</v>
      </c>
      <c r="Y2" s="27">
        <v>1.0</v>
      </c>
      <c r="Z2" s="27">
        <v>0.0</v>
      </c>
      <c r="AA2" s="27">
        <v>0.0</v>
      </c>
      <c r="AD2" s="27">
        <v>1.0</v>
      </c>
      <c r="AE2" s="27">
        <f t="shared" ref="AE2:AL2" si="1">T2/$S$1</f>
        <v>0.05</v>
      </c>
      <c r="AF2" s="27">
        <f t="shared" si="1"/>
        <v>0</v>
      </c>
      <c r="AG2" s="27">
        <f t="shared" si="1"/>
        <v>0</v>
      </c>
      <c r="AH2" s="27">
        <f t="shared" si="1"/>
        <v>0</v>
      </c>
      <c r="AI2" s="27">
        <f t="shared" si="1"/>
        <v>0</v>
      </c>
      <c r="AJ2" s="27">
        <f t="shared" si="1"/>
        <v>0.05</v>
      </c>
      <c r="AK2" s="27">
        <f t="shared" si="1"/>
        <v>0</v>
      </c>
      <c r="AL2" s="27">
        <f t="shared" si="1"/>
        <v>0</v>
      </c>
    </row>
    <row r="3">
      <c r="A3" s="27">
        <v>2.0</v>
      </c>
      <c r="B3" s="27"/>
      <c r="C3" s="27">
        <f t="shared" si="2"/>
        <v>0</v>
      </c>
      <c r="D3" s="27">
        <v>2.0</v>
      </c>
      <c r="E3" s="27">
        <f t="shared" si="3"/>
        <v>0</v>
      </c>
      <c r="F3" s="27">
        <v>3.0</v>
      </c>
      <c r="G3" s="27">
        <f t="shared" si="4"/>
        <v>0</v>
      </c>
      <c r="H3" s="27">
        <v>3.0</v>
      </c>
      <c r="I3" s="27">
        <f t="shared" si="5"/>
        <v>0</v>
      </c>
      <c r="J3" s="27">
        <v>4.0</v>
      </c>
      <c r="K3" s="27">
        <f t="shared" si="6"/>
        <v>0</v>
      </c>
      <c r="L3" s="27">
        <v>4.0</v>
      </c>
      <c r="M3" s="27">
        <f t="shared" si="7"/>
        <v>0</v>
      </c>
      <c r="N3" s="27">
        <v>4.0</v>
      </c>
      <c r="O3" s="27">
        <f t="shared" si="8"/>
        <v>0</v>
      </c>
      <c r="P3" s="27">
        <v>4.0</v>
      </c>
      <c r="Q3" s="27">
        <f t="shared" si="9"/>
        <v>0</v>
      </c>
      <c r="S3" s="27">
        <v>2.0</v>
      </c>
      <c r="T3" s="27">
        <v>1.0</v>
      </c>
      <c r="U3" s="27">
        <v>1.0</v>
      </c>
      <c r="V3" s="27">
        <v>1.0</v>
      </c>
      <c r="W3" s="27">
        <v>0.0</v>
      </c>
      <c r="X3" s="27">
        <v>1.0</v>
      </c>
      <c r="Y3" s="27">
        <v>1.0</v>
      </c>
      <c r="Z3" s="27">
        <v>1.0</v>
      </c>
      <c r="AA3" s="27">
        <v>1.0</v>
      </c>
      <c r="AD3" s="27">
        <v>2.0</v>
      </c>
      <c r="AE3" s="27">
        <f t="shared" ref="AE3:AL3" si="10">T3/$S$1</f>
        <v>0.05</v>
      </c>
      <c r="AF3" s="27">
        <f t="shared" si="10"/>
        <v>0.05</v>
      </c>
      <c r="AG3" s="27">
        <f t="shared" si="10"/>
        <v>0.05</v>
      </c>
      <c r="AH3" s="27">
        <f t="shared" si="10"/>
        <v>0</v>
      </c>
      <c r="AI3" s="27">
        <f t="shared" si="10"/>
        <v>0.05</v>
      </c>
      <c r="AJ3" s="27">
        <f t="shared" si="10"/>
        <v>0.05</v>
      </c>
      <c r="AK3" s="27">
        <f t="shared" si="10"/>
        <v>0.05</v>
      </c>
      <c r="AL3" s="27">
        <f t="shared" si="10"/>
        <v>0.05</v>
      </c>
    </row>
    <row r="4">
      <c r="A4" s="27">
        <v>3.0</v>
      </c>
      <c r="B4" s="27"/>
      <c r="C4" s="27">
        <f t="shared" si="2"/>
        <v>0</v>
      </c>
      <c r="D4" s="27">
        <v>7.0</v>
      </c>
      <c r="E4" s="27">
        <f t="shared" si="3"/>
        <v>0</v>
      </c>
      <c r="F4" s="27">
        <v>4.0</v>
      </c>
      <c r="G4" s="27">
        <f t="shared" si="4"/>
        <v>0</v>
      </c>
      <c r="H4" s="27">
        <v>4.0</v>
      </c>
      <c r="I4" s="27">
        <f t="shared" si="5"/>
        <v>0</v>
      </c>
      <c r="J4" s="27">
        <v>4.0</v>
      </c>
      <c r="K4" s="27">
        <f t="shared" si="6"/>
        <v>0</v>
      </c>
      <c r="L4" s="27">
        <v>4.0</v>
      </c>
      <c r="M4" s="27">
        <f t="shared" si="7"/>
        <v>0</v>
      </c>
      <c r="N4" s="27">
        <v>6.0</v>
      </c>
      <c r="O4" s="27">
        <f t="shared" si="8"/>
        <v>0</v>
      </c>
      <c r="P4" s="27">
        <v>4.0</v>
      </c>
      <c r="Q4" s="27">
        <f t="shared" si="9"/>
        <v>0</v>
      </c>
      <c r="S4" s="27">
        <v>3.0</v>
      </c>
      <c r="T4" s="27">
        <v>1.0</v>
      </c>
      <c r="U4" s="27">
        <v>1.0</v>
      </c>
      <c r="V4" s="27">
        <v>0.0</v>
      </c>
      <c r="W4" s="27">
        <v>0.0</v>
      </c>
      <c r="X4" s="27">
        <v>0.0</v>
      </c>
      <c r="Y4" s="27">
        <v>0.0</v>
      </c>
      <c r="Z4" s="27">
        <v>1.0</v>
      </c>
      <c r="AA4" s="27">
        <v>0.0</v>
      </c>
      <c r="AD4" s="27">
        <v>3.0</v>
      </c>
      <c r="AE4" s="27">
        <f t="shared" ref="AE4:AL4" si="11">T4/$S$1</f>
        <v>0.05</v>
      </c>
      <c r="AF4" s="27">
        <f t="shared" si="11"/>
        <v>0.05</v>
      </c>
      <c r="AG4" s="27">
        <f t="shared" si="11"/>
        <v>0</v>
      </c>
      <c r="AH4" s="27">
        <f t="shared" si="11"/>
        <v>0</v>
      </c>
      <c r="AI4" s="27">
        <f t="shared" si="11"/>
        <v>0</v>
      </c>
      <c r="AJ4" s="27">
        <f t="shared" si="11"/>
        <v>0</v>
      </c>
      <c r="AK4" s="27">
        <f t="shared" si="11"/>
        <v>0.05</v>
      </c>
      <c r="AL4" s="27">
        <f t="shared" si="11"/>
        <v>0</v>
      </c>
    </row>
    <row r="5">
      <c r="A5" s="27">
        <v>4.0</v>
      </c>
      <c r="B5" s="27"/>
      <c r="C5" s="27">
        <f t="shared" si="2"/>
        <v>0</v>
      </c>
      <c r="D5" s="27">
        <v>8.0</v>
      </c>
      <c r="E5" s="27">
        <f t="shared" si="3"/>
        <v>0</v>
      </c>
      <c r="F5" s="27">
        <v>4.0</v>
      </c>
      <c r="G5" s="27">
        <f t="shared" si="4"/>
        <v>0</v>
      </c>
      <c r="H5" s="27">
        <v>4.0</v>
      </c>
      <c r="I5" s="27">
        <f t="shared" si="5"/>
        <v>0</v>
      </c>
      <c r="J5" s="27">
        <v>6.0</v>
      </c>
      <c r="K5" s="27">
        <f t="shared" si="6"/>
        <v>0</v>
      </c>
      <c r="L5" s="27">
        <v>6.0</v>
      </c>
      <c r="M5" s="27">
        <f t="shared" si="7"/>
        <v>0</v>
      </c>
      <c r="N5" s="27">
        <v>7.0</v>
      </c>
      <c r="O5" s="27">
        <f t="shared" si="8"/>
        <v>0</v>
      </c>
      <c r="P5" s="27">
        <v>6.0</v>
      </c>
      <c r="Q5" s="27">
        <f t="shared" si="9"/>
        <v>0</v>
      </c>
      <c r="S5" s="27">
        <v>4.0</v>
      </c>
      <c r="T5" s="27">
        <v>2.0</v>
      </c>
      <c r="U5" s="27">
        <v>2.0</v>
      </c>
      <c r="V5" s="27">
        <v>2.0</v>
      </c>
      <c r="W5" s="27">
        <v>2.0</v>
      </c>
      <c r="X5" s="27">
        <v>2.0</v>
      </c>
      <c r="Y5" s="27">
        <v>0.0</v>
      </c>
      <c r="Z5" s="27">
        <v>2.0</v>
      </c>
      <c r="AA5" s="27">
        <v>2.0</v>
      </c>
      <c r="AD5" s="27">
        <v>4.0</v>
      </c>
      <c r="AE5" s="27">
        <f t="shared" ref="AE5:AL5" si="12">T5/$S$1</f>
        <v>0.1</v>
      </c>
      <c r="AF5" s="27">
        <f t="shared" si="12"/>
        <v>0.1</v>
      </c>
      <c r="AG5" s="27">
        <f t="shared" si="12"/>
        <v>0.1</v>
      </c>
      <c r="AH5" s="27">
        <f t="shared" si="12"/>
        <v>0.1</v>
      </c>
      <c r="AI5" s="27">
        <f t="shared" si="12"/>
        <v>0.1</v>
      </c>
      <c r="AJ5" s="27">
        <f t="shared" si="12"/>
        <v>0</v>
      </c>
      <c r="AK5" s="27">
        <f t="shared" si="12"/>
        <v>0.1</v>
      </c>
      <c r="AL5" s="27">
        <f t="shared" si="12"/>
        <v>0.1</v>
      </c>
    </row>
    <row r="6">
      <c r="A6" s="27">
        <v>4.0</v>
      </c>
      <c r="B6" s="27"/>
      <c r="C6" s="27">
        <f t="shared" si="2"/>
        <v>0</v>
      </c>
      <c r="D6" s="27">
        <v>13.0</v>
      </c>
      <c r="E6" s="27">
        <f t="shared" si="3"/>
        <v>0</v>
      </c>
      <c r="F6" s="27">
        <v>6.0</v>
      </c>
      <c r="G6" s="27">
        <f t="shared" si="4"/>
        <v>0</v>
      </c>
      <c r="H6" s="27">
        <v>6.0</v>
      </c>
      <c r="I6" s="27">
        <f t="shared" si="5"/>
        <v>0</v>
      </c>
      <c r="J6" s="27">
        <v>6.0</v>
      </c>
      <c r="K6" s="27">
        <f t="shared" si="6"/>
        <v>0</v>
      </c>
      <c r="L6" s="27">
        <v>7.0</v>
      </c>
      <c r="M6" s="27">
        <f t="shared" si="7"/>
        <v>0</v>
      </c>
      <c r="N6" s="27">
        <v>8.0</v>
      </c>
      <c r="O6" s="27">
        <f t="shared" si="8"/>
        <v>0</v>
      </c>
      <c r="P6" s="27">
        <v>8.0</v>
      </c>
      <c r="Q6" s="27">
        <f t="shared" si="9"/>
        <v>0</v>
      </c>
      <c r="S6" s="27">
        <v>6.0</v>
      </c>
      <c r="T6" s="27">
        <v>11.0</v>
      </c>
      <c r="U6" s="27">
        <v>11.0</v>
      </c>
      <c r="V6" s="27">
        <v>11.0</v>
      </c>
      <c r="W6" s="27">
        <v>11.0</v>
      </c>
      <c r="X6" s="27">
        <v>11.0</v>
      </c>
      <c r="Y6" s="27">
        <v>0.0</v>
      </c>
      <c r="Z6" s="27">
        <v>11.0</v>
      </c>
      <c r="AA6" s="27">
        <v>10.0</v>
      </c>
      <c r="AD6" s="27">
        <v>6.0</v>
      </c>
      <c r="AE6" s="27">
        <f t="shared" ref="AE6:AL6" si="13">T6/$S$1</f>
        <v>0.55</v>
      </c>
      <c r="AF6" s="27">
        <f t="shared" si="13"/>
        <v>0.55</v>
      </c>
      <c r="AG6" s="27">
        <f t="shared" si="13"/>
        <v>0.55</v>
      </c>
      <c r="AH6" s="27">
        <f t="shared" si="13"/>
        <v>0.55</v>
      </c>
      <c r="AI6" s="27">
        <f t="shared" si="13"/>
        <v>0.55</v>
      </c>
      <c r="AJ6" s="27">
        <f t="shared" si="13"/>
        <v>0</v>
      </c>
      <c r="AK6" s="27">
        <f t="shared" si="13"/>
        <v>0.55</v>
      </c>
      <c r="AL6" s="27">
        <f t="shared" si="13"/>
        <v>0.5</v>
      </c>
    </row>
    <row r="7">
      <c r="A7" s="27">
        <v>6.0</v>
      </c>
      <c r="B7" s="27"/>
      <c r="C7" s="27">
        <f t="shared" si="2"/>
        <v>0</v>
      </c>
      <c r="D7" s="27">
        <v>15.0</v>
      </c>
      <c r="E7" s="27">
        <f t="shared" si="3"/>
        <v>0</v>
      </c>
      <c r="F7" s="27">
        <v>7.0</v>
      </c>
      <c r="G7" s="27">
        <f t="shared" si="4"/>
        <v>0</v>
      </c>
      <c r="H7" s="27">
        <v>6.0</v>
      </c>
      <c r="I7" s="27">
        <f t="shared" si="5"/>
        <v>0</v>
      </c>
      <c r="J7" s="27">
        <v>6.0</v>
      </c>
      <c r="K7" s="27">
        <f t="shared" si="6"/>
        <v>0</v>
      </c>
      <c r="L7" s="27">
        <v>8.0</v>
      </c>
      <c r="M7" s="27">
        <f t="shared" si="7"/>
        <v>0</v>
      </c>
      <c r="N7" s="27">
        <v>6.0</v>
      </c>
      <c r="O7" s="27">
        <f t="shared" si="8"/>
        <v>0</v>
      </c>
      <c r="P7" s="27">
        <v>6.0</v>
      </c>
      <c r="Q7" s="27">
        <f t="shared" si="9"/>
        <v>0</v>
      </c>
      <c r="S7" s="27">
        <v>7.0</v>
      </c>
      <c r="T7" s="27">
        <v>2.0</v>
      </c>
      <c r="U7" s="27">
        <v>0.0</v>
      </c>
      <c r="V7" s="27">
        <v>0.0</v>
      </c>
      <c r="W7" s="27">
        <v>2.0</v>
      </c>
      <c r="X7" s="27">
        <v>2.0</v>
      </c>
      <c r="Y7" s="27">
        <v>2.0</v>
      </c>
      <c r="Z7" s="27">
        <v>2.0</v>
      </c>
      <c r="AA7" s="27">
        <v>0.0</v>
      </c>
      <c r="AD7" s="27">
        <v>7.0</v>
      </c>
      <c r="AE7" s="27">
        <f t="shared" ref="AE7:AL7" si="14">T7/$S$1</f>
        <v>0.1</v>
      </c>
      <c r="AF7" s="27">
        <f t="shared" si="14"/>
        <v>0</v>
      </c>
      <c r="AG7" s="27">
        <f t="shared" si="14"/>
        <v>0</v>
      </c>
      <c r="AH7" s="27">
        <f t="shared" si="14"/>
        <v>0.1</v>
      </c>
      <c r="AI7" s="27">
        <f t="shared" si="14"/>
        <v>0.1</v>
      </c>
      <c r="AJ7" s="27">
        <f t="shared" si="14"/>
        <v>0.1</v>
      </c>
      <c r="AK7" s="27">
        <f t="shared" si="14"/>
        <v>0.1</v>
      </c>
      <c r="AL7" s="27">
        <f t="shared" si="14"/>
        <v>0</v>
      </c>
    </row>
    <row r="8">
      <c r="A8" s="27">
        <v>7.0</v>
      </c>
      <c r="B8" s="27"/>
      <c r="C8" s="27">
        <f t="shared" si="2"/>
        <v>0</v>
      </c>
      <c r="D8" s="27">
        <v>7.0</v>
      </c>
      <c r="E8" s="27">
        <f t="shared" si="3"/>
        <v>0</v>
      </c>
      <c r="F8" s="27">
        <v>8.0</v>
      </c>
      <c r="G8" s="27">
        <f t="shared" si="4"/>
        <v>0</v>
      </c>
      <c r="H8" s="27">
        <v>6.0</v>
      </c>
      <c r="I8" s="27">
        <f t="shared" si="5"/>
        <v>0</v>
      </c>
      <c r="J8" s="27">
        <v>6.0</v>
      </c>
      <c r="K8" s="27">
        <f t="shared" si="6"/>
        <v>0</v>
      </c>
      <c r="L8" s="27">
        <v>6.0</v>
      </c>
      <c r="M8" s="27">
        <f t="shared" si="7"/>
        <v>0</v>
      </c>
      <c r="N8" s="27">
        <v>6.0</v>
      </c>
      <c r="O8" s="27">
        <f t="shared" si="8"/>
        <v>0</v>
      </c>
      <c r="P8" s="27">
        <v>6.0</v>
      </c>
      <c r="Q8" s="27">
        <f t="shared" si="9"/>
        <v>0</v>
      </c>
      <c r="S8" s="27">
        <v>8.0</v>
      </c>
      <c r="T8" s="27">
        <v>1.0</v>
      </c>
      <c r="U8" s="27">
        <v>0.0</v>
      </c>
      <c r="V8" s="27">
        <v>0.0</v>
      </c>
      <c r="W8" s="27">
        <v>1.0</v>
      </c>
      <c r="X8" s="27">
        <v>1.0</v>
      </c>
      <c r="Y8" s="27">
        <v>1.0</v>
      </c>
      <c r="Z8" s="27">
        <v>1.0</v>
      </c>
      <c r="AA8" s="27">
        <v>1.0</v>
      </c>
      <c r="AD8" s="27">
        <v>8.0</v>
      </c>
      <c r="AE8" s="27">
        <f t="shared" ref="AE8:AL8" si="15">T8/$S$1</f>
        <v>0.05</v>
      </c>
      <c r="AF8" s="27">
        <f t="shared" si="15"/>
        <v>0</v>
      </c>
      <c r="AG8" s="27">
        <f t="shared" si="15"/>
        <v>0</v>
      </c>
      <c r="AH8" s="27">
        <f t="shared" si="15"/>
        <v>0.05</v>
      </c>
      <c r="AI8" s="27">
        <f t="shared" si="15"/>
        <v>0.05</v>
      </c>
      <c r="AJ8" s="27">
        <f t="shared" si="15"/>
        <v>0.05</v>
      </c>
      <c r="AK8" s="27">
        <f t="shared" si="15"/>
        <v>0.05</v>
      </c>
      <c r="AL8" s="27">
        <f t="shared" si="15"/>
        <v>0.05</v>
      </c>
    </row>
    <row r="9">
      <c r="A9" s="27">
        <v>8.0</v>
      </c>
      <c r="B9" s="27"/>
      <c r="C9" s="27">
        <f t="shared" si="2"/>
        <v>0</v>
      </c>
      <c r="D9" s="27">
        <v>18.0</v>
      </c>
      <c r="E9" s="27">
        <f t="shared" si="3"/>
        <v>0</v>
      </c>
      <c r="F9" s="27">
        <v>6.0</v>
      </c>
      <c r="G9" s="27">
        <f t="shared" si="4"/>
        <v>0</v>
      </c>
      <c r="H9" s="27">
        <v>6.0</v>
      </c>
      <c r="I9" s="27">
        <f t="shared" si="5"/>
        <v>0</v>
      </c>
      <c r="J9" s="27">
        <v>13.0</v>
      </c>
      <c r="K9" s="27">
        <f t="shared" si="6"/>
        <v>0</v>
      </c>
      <c r="L9" s="27">
        <v>6.0</v>
      </c>
      <c r="M9" s="27">
        <f t="shared" si="7"/>
        <v>0</v>
      </c>
      <c r="N9" s="27">
        <v>6.0</v>
      </c>
      <c r="O9" s="27">
        <f t="shared" si="8"/>
        <v>0</v>
      </c>
      <c r="P9" s="27">
        <v>13.0</v>
      </c>
      <c r="Q9" s="27">
        <f t="shared" si="9"/>
        <v>0</v>
      </c>
      <c r="S9" s="27">
        <v>11.0</v>
      </c>
      <c r="T9" s="27">
        <v>1.0</v>
      </c>
      <c r="U9" s="27">
        <v>0.0</v>
      </c>
      <c r="V9" s="27">
        <v>0.0</v>
      </c>
      <c r="W9" s="27">
        <v>0.0</v>
      </c>
      <c r="X9" s="27">
        <v>0.0</v>
      </c>
      <c r="Y9" s="27">
        <v>0.0</v>
      </c>
      <c r="Z9" s="27">
        <v>0.0</v>
      </c>
      <c r="AA9" s="27">
        <v>0.0</v>
      </c>
      <c r="AD9" s="27">
        <v>11.0</v>
      </c>
      <c r="AE9" s="27">
        <f t="shared" ref="AE9:AL9" si="16">T9/$S$1</f>
        <v>0.05</v>
      </c>
      <c r="AF9" s="27">
        <f t="shared" si="16"/>
        <v>0</v>
      </c>
      <c r="AG9" s="27">
        <f t="shared" si="16"/>
        <v>0</v>
      </c>
      <c r="AH9" s="27">
        <f t="shared" si="16"/>
        <v>0</v>
      </c>
      <c r="AI9" s="27">
        <f t="shared" si="16"/>
        <v>0</v>
      </c>
      <c r="AJ9" s="27">
        <f t="shared" si="16"/>
        <v>0</v>
      </c>
      <c r="AK9" s="27">
        <f t="shared" si="16"/>
        <v>0</v>
      </c>
      <c r="AL9" s="27">
        <f t="shared" si="16"/>
        <v>0</v>
      </c>
    </row>
    <row r="10">
      <c r="A10" s="27">
        <v>6.0</v>
      </c>
      <c r="B10" s="27"/>
      <c r="C10" s="27">
        <f t="shared" si="2"/>
        <v>0</v>
      </c>
      <c r="D10" s="27">
        <v>21.0</v>
      </c>
      <c r="E10" s="27">
        <f t="shared" si="3"/>
        <v>0</v>
      </c>
      <c r="F10" s="27">
        <v>6.0</v>
      </c>
      <c r="G10" s="27">
        <f t="shared" si="4"/>
        <v>0</v>
      </c>
      <c r="H10" s="27">
        <v>13.0</v>
      </c>
      <c r="I10" s="27">
        <f t="shared" si="5"/>
        <v>0</v>
      </c>
      <c r="J10" s="27">
        <v>6.0</v>
      </c>
      <c r="K10" s="27">
        <f t="shared" si="6"/>
        <v>0</v>
      </c>
      <c r="L10" s="27">
        <v>6.0</v>
      </c>
      <c r="M10" s="27">
        <f t="shared" si="7"/>
        <v>0</v>
      </c>
      <c r="N10" s="27">
        <v>13.0</v>
      </c>
      <c r="O10" s="27">
        <f t="shared" si="8"/>
        <v>0</v>
      </c>
      <c r="P10" s="27">
        <v>6.0</v>
      </c>
      <c r="Q10" s="27">
        <f t="shared" si="9"/>
        <v>0</v>
      </c>
      <c r="S10" s="27">
        <v>13.0</v>
      </c>
      <c r="T10" s="27">
        <v>1.0</v>
      </c>
      <c r="U10" s="27">
        <v>1.0</v>
      </c>
      <c r="V10" s="27">
        <v>1.0</v>
      </c>
      <c r="W10" s="27">
        <v>1.0</v>
      </c>
      <c r="X10" s="27">
        <v>1.0</v>
      </c>
      <c r="Y10" s="27">
        <v>1.0</v>
      </c>
      <c r="Z10" s="27">
        <v>1.0</v>
      </c>
      <c r="AA10" s="27">
        <v>1.0</v>
      </c>
      <c r="AD10" s="27">
        <v>13.0</v>
      </c>
      <c r="AE10" s="27">
        <f t="shared" ref="AE10:AL10" si="17">T10/$S$1</f>
        <v>0.05</v>
      </c>
      <c r="AF10" s="27">
        <f t="shared" si="17"/>
        <v>0.05</v>
      </c>
      <c r="AG10" s="27">
        <f t="shared" si="17"/>
        <v>0.05</v>
      </c>
      <c r="AH10" s="27">
        <f t="shared" si="17"/>
        <v>0.05</v>
      </c>
      <c r="AI10" s="27">
        <f t="shared" si="17"/>
        <v>0.05</v>
      </c>
      <c r="AJ10" s="27">
        <f t="shared" si="17"/>
        <v>0.05</v>
      </c>
      <c r="AK10" s="27">
        <f t="shared" si="17"/>
        <v>0.05</v>
      </c>
      <c r="AL10" s="27">
        <f t="shared" si="17"/>
        <v>0.05</v>
      </c>
    </row>
    <row r="11">
      <c r="A11" s="27">
        <v>6.0</v>
      </c>
      <c r="B11" s="27"/>
      <c r="C11" s="27">
        <f t="shared" si="2"/>
        <v>0</v>
      </c>
      <c r="D11" s="27">
        <v>15.0</v>
      </c>
      <c r="E11" s="27">
        <f t="shared" si="3"/>
        <v>0</v>
      </c>
      <c r="F11" s="27">
        <v>6.0</v>
      </c>
      <c r="G11" s="27">
        <f t="shared" si="4"/>
        <v>0</v>
      </c>
      <c r="H11" s="27">
        <v>6.0</v>
      </c>
      <c r="I11" s="27">
        <f t="shared" si="5"/>
        <v>0</v>
      </c>
      <c r="J11" s="27">
        <v>6.0</v>
      </c>
      <c r="K11" s="27">
        <f t="shared" si="6"/>
        <v>0</v>
      </c>
      <c r="L11" s="27">
        <v>13.0</v>
      </c>
      <c r="M11" s="27">
        <f t="shared" si="7"/>
        <v>0</v>
      </c>
      <c r="N11" s="27">
        <v>6.0</v>
      </c>
      <c r="O11" s="27">
        <f t="shared" si="8"/>
        <v>0</v>
      </c>
      <c r="P11" s="27">
        <v>6.0</v>
      </c>
      <c r="Q11" s="27">
        <f t="shared" si="9"/>
        <v>0</v>
      </c>
      <c r="S11" s="27">
        <v>15.0</v>
      </c>
      <c r="T11" s="27">
        <v>8.0</v>
      </c>
      <c r="U11" s="27">
        <v>0.0</v>
      </c>
      <c r="V11" s="27">
        <v>0.0</v>
      </c>
      <c r="W11" s="27">
        <v>8.0</v>
      </c>
      <c r="X11" s="27">
        <v>1.0</v>
      </c>
      <c r="Y11" s="27">
        <v>4.0</v>
      </c>
      <c r="Z11" s="27">
        <v>0.0</v>
      </c>
      <c r="AA11" s="27">
        <v>0.0</v>
      </c>
      <c r="AD11" s="27">
        <v>15.0</v>
      </c>
      <c r="AE11" s="27">
        <f t="shared" ref="AE11:AL11" si="18">T11/$S$1</f>
        <v>0.4</v>
      </c>
      <c r="AF11" s="27">
        <f t="shared" si="18"/>
        <v>0</v>
      </c>
      <c r="AG11" s="27">
        <f t="shared" si="18"/>
        <v>0</v>
      </c>
      <c r="AH11" s="27">
        <f t="shared" si="18"/>
        <v>0.4</v>
      </c>
      <c r="AI11" s="27">
        <f t="shared" si="18"/>
        <v>0.05</v>
      </c>
      <c r="AJ11" s="27">
        <f t="shared" si="18"/>
        <v>0.2</v>
      </c>
      <c r="AK11" s="27">
        <f t="shared" si="18"/>
        <v>0</v>
      </c>
      <c r="AL11" s="27">
        <f t="shared" si="18"/>
        <v>0</v>
      </c>
    </row>
    <row r="12">
      <c r="A12" s="27">
        <v>11.0</v>
      </c>
      <c r="B12" s="27"/>
      <c r="C12" s="27">
        <f t="shared" si="2"/>
        <v>0</v>
      </c>
      <c r="D12" s="27">
        <v>15.0</v>
      </c>
      <c r="E12" s="27">
        <f t="shared" si="3"/>
        <v>0</v>
      </c>
      <c r="F12" s="27">
        <v>13.0</v>
      </c>
      <c r="G12" s="27">
        <f t="shared" si="4"/>
        <v>0</v>
      </c>
      <c r="H12" s="27">
        <v>6.0</v>
      </c>
      <c r="I12" s="27">
        <f t="shared" si="5"/>
        <v>0</v>
      </c>
      <c r="J12" s="27">
        <v>6.0</v>
      </c>
      <c r="K12" s="27">
        <f t="shared" si="6"/>
        <v>0</v>
      </c>
      <c r="L12" s="27">
        <v>6.0</v>
      </c>
      <c r="M12" s="27">
        <f t="shared" si="7"/>
        <v>0</v>
      </c>
      <c r="N12" s="27">
        <v>15.0</v>
      </c>
      <c r="O12" s="27">
        <f t="shared" si="8"/>
        <v>0</v>
      </c>
      <c r="P12" s="27">
        <v>6.0</v>
      </c>
      <c r="Q12" s="27">
        <f t="shared" si="9"/>
        <v>0</v>
      </c>
      <c r="S12" s="27">
        <v>18.0</v>
      </c>
      <c r="T12" s="27">
        <v>1.0</v>
      </c>
      <c r="U12" s="27">
        <v>0.0</v>
      </c>
      <c r="V12" s="27">
        <v>0.0</v>
      </c>
      <c r="W12" s="27">
        <v>1.0</v>
      </c>
      <c r="X12" s="27">
        <v>1.0</v>
      </c>
      <c r="Y12" s="27">
        <v>1.0</v>
      </c>
      <c r="Z12" s="27">
        <v>1.0</v>
      </c>
      <c r="AA12" s="27">
        <v>0.0</v>
      </c>
      <c r="AD12" s="27">
        <v>18.0</v>
      </c>
      <c r="AE12" s="27">
        <f t="shared" ref="AE12:AL12" si="19">T12/$S$1</f>
        <v>0.05</v>
      </c>
      <c r="AF12" s="27">
        <f t="shared" si="19"/>
        <v>0</v>
      </c>
      <c r="AG12" s="27">
        <f t="shared" si="19"/>
        <v>0</v>
      </c>
      <c r="AH12" s="27">
        <f t="shared" si="19"/>
        <v>0.05</v>
      </c>
      <c r="AI12" s="27">
        <f t="shared" si="19"/>
        <v>0.05</v>
      </c>
      <c r="AJ12" s="27">
        <f t="shared" si="19"/>
        <v>0.05</v>
      </c>
      <c r="AK12" s="27">
        <f t="shared" si="19"/>
        <v>0.05</v>
      </c>
      <c r="AL12" s="27">
        <f t="shared" si="19"/>
        <v>0</v>
      </c>
    </row>
    <row r="13">
      <c r="A13" s="27">
        <v>6.0</v>
      </c>
      <c r="B13" s="27"/>
      <c r="C13" s="27">
        <f t="shared" si="2"/>
        <v>0</v>
      </c>
      <c r="D13" s="27">
        <v>33.0</v>
      </c>
      <c r="E13" s="27">
        <f t="shared" si="3"/>
        <v>0</v>
      </c>
      <c r="F13" s="27">
        <v>6.0</v>
      </c>
      <c r="G13" s="27">
        <f t="shared" si="4"/>
        <v>0</v>
      </c>
      <c r="H13" s="27">
        <v>6.0</v>
      </c>
      <c r="I13" s="27">
        <f t="shared" si="5"/>
        <v>0</v>
      </c>
      <c r="J13" s="27">
        <v>21.0</v>
      </c>
      <c r="K13" s="27">
        <f t="shared" si="6"/>
        <v>0</v>
      </c>
      <c r="L13" s="27">
        <v>6.0</v>
      </c>
      <c r="M13" s="27">
        <f t="shared" si="7"/>
        <v>0</v>
      </c>
      <c r="N13" s="27">
        <v>6.0</v>
      </c>
      <c r="O13" s="27">
        <f t="shared" si="8"/>
        <v>0</v>
      </c>
      <c r="P13" s="27">
        <v>21.0</v>
      </c>
      <c r="Q13" s="27">
        <f t="shared" si="9"/>
        <v>0</v>
      </c>
      <c r="S13" s="27">
        <v>21.0</v>
      </c>
      <c r="T13" s="27">
        <v>1.0</v>
      </c>
      <c r="U13" s="27">
        <v>1.0</v>
      </c>
      <c r="V13" s="27">
        <v>1.0</v>
      </c>
      <c r="W13" s="27">
        <v>0.0</v>
      </c>
      <c r="X13" s="27">
        <v>1.0</v>
      </c>
      <c r="Y13" s="27">
        <v>1.0</v>
      </c>
      <c r="Z13" s="27">
        <v>1.0</v>
      </c>
      <c r="AA13" s="27">
        <v>1.0</v>
      </c>
      <c r="AD13" s="27">
        <v>21.0</v>
      </c>
      <c r="AE13" s="27">
        <f t="shared" ref="AE13:AL13" si="20">T13/$S$1</f>
        <v>0.05</v>
      </c>
      <c r="AF13" s="27">
        <f t="shared" si="20"/>
        <v>0.05</v>
      </c>
      <c r="AG13" s="27">
        <f t="shared" si="20"/>
        <v>0.05</v>
      </c>
      <c r="AH13" s="27">
        <f t="shared" si="20"/>
        <v>0</v>
      </c>
      <c r="AI13" s="27">
        <f t="shared" si="20"/>
        <v>0.05</v>
      </c>
      <c r="AJ13" s="27">
        <f t="shared" si="20"/>
        <v>0.05</v>
      </c>
      <c r="AK13" s="27">
        <f t="shared" si="20"/>
        <v>0.05</v>
      </c>
      <c r="AL13" s="27">
        <f t="shared" si="20"/>
        <v>0.05</v>
      </c>
    </row>
    <row r="14">
      <c r="A14" s="27">
        <v>13.0</v>
      </c>
      <c r="B14" s="27"/>
      <c r="C14" s="27">
        <f t="shared" si="2"/>
        <v>0</v>
      </c>
      <c r="D14" s="27">
        <v>15.0</v>
      </c>
      <c r="E14" s="27">
        <f t="shared" si="3"/>
        <v>0</v>
      </c>
      <c r="F14" s="27">
        <v>6.0</v>
      </c>
      <c r="G14" s="27">
        <f t="shared" si="4"/>
        <v>0</v>
      </c>
      <c r="H14" s="27">
        <v>21.0</v>
      </c>
      <c r="I14" s="27">
        <f t="shared" si="5"/>
        <v>0</v>
      </c>
      <c r="J14" s="27">
        <v>23.0</v>
      </c>
      <c r="K14" s="27">
        <f t="shared" si="6"/>
        <v>0</v>
      </c>
      <c r="L14" s="27">
        <v>7.0</v>
      </c>
      <c r="M14" s="27">
        <f t="shared" si="7"/>
        <v>0</v>
      </c>
      <c r="N14" s="27">
        <v>7.0</v>
      </c>
      <c r="O14" s="27">
        <f t="shared" si="8"/>
        <v>0</v>
      </c>
      <c r="P14" s="27">
        <v>23.0</v>
      </c>
      <c r="Q14" s="27">
        <f t="shared" si="9"/>
        <v>0</v>
      </c>
      <c r="S14" s="27">
        <v>23.0</v>
      </c>
      <c r="T14" s="27">
        <v>1.0</v>
      </c>
      <c r="U14" s="27">
        <v>1.0</v>
      </c>
      <c r="V14" s="27">
        <v>1.0</v>
      </c>
      <c r="W14" s="27">
        <v>1.0</v>
      </c>
      <c r="X14" s="27">
        <v>1.0</v>
      </c>
      <c r="Y14" s="27">
        <v>0.0</v>
      </c>
      <c r="Z14" s="27">
        <v>1.0</v>
      </c>
      <c r="AA14" s="27">
        <v>1.0</v>
      </c>
      <c r="AD14" s="27">
        <v>23.0</v>
      </c>
      <c r="AE14" s="27">
        <f t="shared" ref="AE14:AL14" si="21">T14/$S$1</f>
        <v>0.05</v>
      </c>
      <c r="AF14" s="27">
        <f t="shared" si="21"/>
        <v>0.05</v>
      </c>
      <c r="AG14" s="27">
        <f t="shared" si="21"/>
        <v>0.05</v>
      </c>
      <c r="AH14" s="27">
        <f t="shared" si="21"/>
        <v>0.05</v>
      </c>
      <c r="AI14" s="27">
        <f t="shared" si="21"/>
        <v>0.05</v>
      </c>
      <c r="AJ14" s="27">
        <f t="shared" si="21"/>
        <v>0</v>
      </c>
      <c r="AK14" s="27">
        <f t="shared" si="21"/>
        <v>0.05</v>
      </c>
      <c r="AL14" s="27">
        <f t="shared" si="21"/>
        <v>0.05</v>
      </c>
    </row>
    <row r="15">
      <c r="A15" s="27">
        <v>6.0</v>
      </c>
      <c r="B15" s="27"/>
      <c r="C15" s="27">
        <f t="shared" si="2"/>
        <v>0</v>
      </c>
      <c r="E15" s="27">
        <f t="shared" si="3"/>
        <v>0</v>
      </c>
      <c r="F15" s="27">
        <v>7.0</v>
      </c>
      <c r="G15" s="27">
        <f t="shared" si="4"/>
        <v>0</v>
      </c>
      <c r="H15" s="27">
        <v>23.0</v>
      </c>
      <c r="I15" s="27">
        <f t="shared" si="5"/>
        <v>0</v>
      </c>
      <c r="J15" s="27">
        <v>6.0</v>
      </c>
      <c r="K15" s="27">
        <f t="shared" si="6"/>
        <v>0</v>
      </c>
      <c r="L15" s="27">
        <v>18.0</v>
      </c>
      <c r="M15" s="27">
        <f t="shared" si="7"/>
        <v>0</v>
      </c>
      <c r="N15" s="27">
        <v>18.0</v>
      </c>
      <c r="O15" s="27">
        <f t="shared" si="8"/>
        <v>0</v>
      </c>
      <c r="P15" s="27">
        <v>6.0</v>
      </c>
      <c r="Q15" s="27">
        <f t="shared" si="9"/>
        <v>0</v>
      </c>
      <c r="S15" s="27">
        <v>25.0</v>
      </c>
      <c r="T15" s="27">
        <v>1.0</v>
      </c>
      <c r="U15" s="27">
        <v>0.0</v>
      </c>
      <c r="V15" s="27">
        <v>0.0</v>
      </c>
      <c r="W15" s="27">
        <v>1.0</v>
      </c>
      <c r="X15" s="27">
        <v>1.0</v>
      </c>
      <c r="Y15" s="27">
        <v>0.0</v>
      </c>
      <c r="Z15" s="27">
        <v>1.0</v>
      </c>
      <c r="AA15" s="27">
        <v>0.0</v>
      </c>
      <c r="AD15" s="27">
        <v>25.0</v>
      </c>
      <c r="AE15" s="27">
        <f t="shared" ref="AE15:AL15" si="22">T15/$S$1</f>
        <v>0.05</v>
      </c>
      <c r="AF15" s="27">
        <f t="shared" si="22"/>
        <v>0</v>
      </c>
      <c r="AG15" s="27">
        <f t="shared" si="22"/>
        <v>0</v>
      </c>
      <c r="AH15" s="27">
        <f t="shared" si="22"/>
        <v>0.05</v>
      </c>
      <c r="AI15" s="27">
        <f t="shared" si="22"/>
        <v>0.05</v>
      </c>
      <c r="AJ15" s="27">
        <f t="shared" si="22"/>
        <v>0</v>
      </c>
      <c r="AK15" s="27">
        <f t="shared" si="22"/>
        <v>0.05</v>
      </c>
      <c r="AL15" s="27">
        <f t="shared" si="22"/>
        <v>0</v>
      </c>
    </row>
    <row r="16">
      <c r="A16" s="27">
        <v>15.0</v>
      </c>
      <c r="B16" s="27"/>
      <c r="C16" s="27">
        <f t="shared" si="2"/>
        <v>0</v>
      </c>
      <c r="E16" s="27">
        <f t="shared" si="3"/>
        <v>0</v>
      </c>
      <c r="F16" s="27">
        <v>18.0</v>
      </c>
      <c r="G16" s="27">
        <f t="shared" si="4"/>
        <v>0</v>
      </c>
      <c r="H16" s="27">
        <v>6.0</v>
      </c>
      <c r="I16" s="27">
        <f t="shared" si="5"/>
        <v>0</v>
      </c>
      <c r="J16" s="27">
        <v>6.0</v>
      </c>
      <c r="K16" s="27">
        <f t="shared" si="6"/>
        <v>0</v>
      </c>
      <c r="L16" s="27">
        <v>6.0</v>
      </c>
      <c r="M16" s="27">
        <f t="shared" si="7"/>
        <v>0</v>
      </c>
      <c r="N16" s="27">
        <v>15.0</v>
      </c>
      <c r="O16" s="27">
        <f t="shared" si="8"/>
        <v>0</v>
      </c>
      <c r="P16" s="27">
        <v>6.0</v>
      </c>
      <c r="Q16" s="27">
        <f t="shared" si="9"/>
        <v>0</v>
      </c>
      <c r="S16" s="27">
        <v>27.0</v>
      </c>
      <c r="T16" s="27">
        <v>2.0</v>
      </c>
      <c r="U16" s="27">
        <v>0.0</v>
      </c>
      <c r="V16" s="27">
        <v>0.0</v>
      </c>
      <c r="W16" s="27">
        <v>2.0</v>
      </c>
      <c r="X16" s="27">
        <v>0.0</v>
      </c>
      <c r="Y16" s="27">
        <v>0.0</v>
      </c>
      <c r="Z16" s="27">
        <v>0.0</v>
      </c>
      <c r="AA16" s="27">
        <v>0.0</v>
      </c>
      <c r="AD16" s="27">
        <v>27.0</v>
      </c>
      <c r="AE16" s="27">
        <f t="shared" ref="AE16:AL16" si="23">T16/$S$1</f>
        <v>0.1</v>
      </c>
      <c r="AF16" s="27">
        <f t="shared" si="23"/>
        <v>0</v>
      </c>
      <c r="AG16" s="27">
        <f t="shared" si="23"/>
        <v>0</v>
      </c>
      <c r="AH16" s="27">
        <f t="shared" si="23"/>
        <v>0.1</v>
      </c>
      <c r="AI16" s="27">
        <f t="shared" si="23"/>
        <v>0</v>
      </c>
      <c r="AJ16" s="27">
        <f t="shared" si="23"/>
        <v>0</v>
      </c>
      <c r="AK16" s="27">
        <f t="shared" si="23"/>
        <v>0</v>
      </c>
      <c r="AL16" s="27">
        <f t="shared" si="23"/>
        <v>0</v>
      </c>
    </row>
    <row r="17">
      <c r="A17" s="27">
        <v>6.0</v>
      </c>
      <c r="B17" s="27"/>
      <c r="C17" s="27">
        <f t="shared" si="2"/>
        <v>0</v>
      </c>
      <c r="E17" s="27">
        <f t="shared" si="3"/>
        <v>0</v>
      </c>
      <c r="F17" s="27">
        <v>6.0</v>
      </c>
      <c r="G17" s="27">
        <f t="shared" si="4"/>
        <v>0</v>
      </c>
      <c r="H17" s="27">
        <v>6.0</v>
      </c>
      <c r="I17" s="27">
        <f t="shared" si="5"/>
        <v>0</v>
      </c>
      <c r="J17" s="27">
        <v>6.0</v>
      </c>
      <c r="K17" s="27">
        <f t="shared" si="6"/>
        <v>0</v>
      </c>
      <c r="L17" s="27">
        <v>21.0</v>
      </c>
      <c r="M17" s="27">
        <f t="shared" si="7"/>
        <v>0</v>
      </c>
      <c r="N17" s="27">
        <v>6.0</v>
      </c>
      <c r="O17" s="27">
        <f t="shared" si="8"/>
        <v>0</v>
      </c>
      <c r="P17" s="27">
        <v>6.0</v>
      </c>
      <c r="Q17" s="27">
        <f t="shared" si="9"/>
        <v>0</v>
      </c>
      <c r="S17" s="27">
        <v>28.0</v>
      </c>
      <c r="T17" s="27">
        <v>1.0</v>
      </c>
      <c r="U17" s="27">
        <v>0.0</v>
      </c>
      <c r="V17" s="27">
        <v>0.0</v>
      </c>
      <c r="W17" s="27">
        <v>1.0</v>
      </c>
      <c r="X17" s="27">
        <v>0.0</v>
      </c>
      <c r="Y17" s="27">
        <v>0.0</v>
      </c>
      <c r="Z17" s="27">
        <v>0.0</v>
      </c>
      <c r="AA17" s="27">
        <v>0.0</v>
      </c>
      <c r="AD17" s="27">
        <v>28.0</v>
      </c>
      <c r="AE17" s="27">
        <f t="shared" ref="AE17:AL17" si="24">T17/$S$1</f>
        <v>0.05</v>
      </c>
      <c r="AF17" s="27">
        <f t="shared" si="24"/>
        <v>0</v>
      </c>
      <c r="AG17" s="27">
        <f t="shared" si="24"/>
        <v>0</v>
      </c>
      <c r="AH17" s="27">
        <f t="shared" si="24"/>
        <v>0.05</v>
      </c>
      <c r="AI17" s="27">
        <f t="shared" si="24"/>
        <v>0</v>
      </c>
      <c r="AJ17" s="27">
        <f t="shared" si="24"/>
        <v>0</v>
      </c>
      <c r="AK17" s="27">
        <f t="shared" si="24"/>
        <v>0</v>
      </c>
      <c r="AL17" s="27">
        <f t="shared" si="24"/>
        <v>0</v>
      </c>
    </row>
    <row r="18">
      <c r="A18" s="27">
        <v>7.0</v>
      </c>
      <c r="B18" s="27"/>
      <c r="C18" s="27">
        <f t="shared" si="2"/>
        <v>0</v>
      </c>
      <c r="E18" s="27">
        <f t="shared" si="3"/>
        <v>0</v>
      </c>
      <c r="F18" s="27">
        <v>21.0</v>
      </c>
      <c r="G18" s="27">
        <f t="shared" si="4"/>
        <v>0</v>
      </c>
      <c r="H18" s="27">
        <v>6.0</v>
      </c>
      <c r="I18" s="27">
        <f t="shared" si="5"/>
        <v>0</v>
      </c>
      <c r="J18" s="27">
        <v>6.0</v>
      </c>
      <c r="K18" s="27">
        <f t="shared" si="6"/>
        <v>0</v>
      </c>
      <c r="L18" s="27">
        <v>23.0</v>
      </c>
      <c r="M18" s="27">
        <f t="shared" si="7"/>
        <v>0</v>
      </c>
      <c r="N18" s="27">
        <v>15.0</v>
      </c>
      <c r="O18" s="27">
        <f t="shared" si="8"/>
        <v>0</v>
      </c>
      <c r="P18" s="27">
        <v>6.0</v>
      </c>
      <c r="Q18" s="27">
        <f t="shared" si="9"/>
        <v>0</v>
      </c>
      <c r="S18" s="27">
        <v>33.0</v>
      </c>
      <c r="T18" s="27">
        <v>1.0</v>
      </c>
      <c r="U18" s="27">
        <v>0.0</v>
      </c>
      <c r="V18" s="27">
        <v>0.0</v>
      </c>
      <c r="W18" s="27">
        <v>1.0</v>
      </c>
      <c r="X18" s="27">
        <v>0.0</v>
      </c>
      <c r="Y18" s="27">
        <v>1.0</v>
      </c>
      <c r="Z18" s="27">
        <v>0.0</v>
      </c>
      <c r="AA18" s="27">
        <v>0.0</v>
      </c>
      <c r="AD18" s="27">
        <v>33.0</v>
      </c>
      <c r="AE18" s="27">
        <f t="shared" ref="AE18:AL18" si="25">T18/$S$1</f>
        <v>0.05</v>
      </c>
      <c r="AF18" s="27">
        <f t="shared" si="25"/>
        <v>0</v>
      </c>
      <c r="AG18" s="27">
        <f t="shared" si="25"/>
        <v>0</v>
      </c>
      <c r="AH18" s="27">
        <f t="shared" si="25"/>
        <v>0.05</v>
      </c>
      <c r="AI18" s="27">
        <f t="shared" si="25"/>
        <v>0</v>
      </c>
      <c r="AJ18" s="27">
        <f t="shared" si="25"/>
        <v>0.05</v>
      </c>
      <c r="AK18" s="27">
        <f t="shared" si="25"/>
        <v>0</v>
      </c>
      <c r="AL18" s="27">
        <f t="shared" si="25"/>
        <v>0</v>
      </c>
    </row>
    <row r="19">
      <c r="A19" s="27">
        <v>18.0</v>
      </c>
      <c r="B19" s="27"/>
      <c r="C19" s="27">
        <f t="shared" si="2"/>
        <v>0</v>
      </c>
      <c r="E19" s="27">
        <f t="shared" si="3"/>
        <v>0</v>
      </c>
      <c r="F19" s="27">
        <v>23.0</v>
      </c>
      <c r="G19" s="27">
        <f t="shared" si="4"/>
        <v>0</v>
      </c>
      <c r="H19" s="27">
        <v>6.0</v>
      </c>
      <c r="I19" s="27">
        <f t="shared" si="5"/>
        <v>0</v>
      </c>
      <c r="K19" s="27">
        <f t="shared" si="6"/>
        <v>0</v>
      </c>
      <c r="L19" s="27">
        <v>25.0</v>
      </c>
      <c r="M19" s="27">
        <f t="shared" si="7"/>
        <v>0</v>
      </c>
      <c r="N19" s="27">
        <v>23.0</v>
      </c>
      <c r="O19" s="27">
        <f t="shared" si="8"/>
        <v>0</v>
      </c>
      <c r="Q19" s="27">
        <f t="shared" si="9"/>
        <v>0</v>
      </c>
      <c r="S19" s="27">
        <v>36.0</v>
      </c>
      <c r="T19" s="27">
        <v>1.0</v>
      </c>
      <c r="U19" s="27">
        <v>0.0</v>
      </c>
      <c r="V19" s="27">
        <v>0.0</v>
      </c>
      <c r="W19" s="27">
        <v>1.0</v>
      </c>
      <c r="X19" s="27">
        <v>0.0</v>
      </c>
      <c r="Y19" s="27">
        <v>0.0</v>
      </c>
      <c r="Z19" s="27">
        <v>0.0</v>
      </c>
      <c r="AA19" s="27">
        <v>0.0</v>
      </c>
      <c r="AD19" s="27">
        <v>36.0</v>
      </c>
      <c r="AE19" s="27">
        <f t="shared" ref="AE19:AL19" si="26">T19/$S$1</f>
        <v>0.05</v>
      </c>
      <c r="AF19" s="27">
        <f t="shared" si="26"/>
        <v>0</v>
      </c>
      <c r="AG19" s="27">
        <f t="shared" si="26"/>
        <v>0</v>
      </c>
      <c r="AH19" s="27">
        <f t="shared" si="26"/>
        <v>0.05</v>
      </c>
      <c r="AI19" s="27">
        <f t="shared" si="26"/>
        <v>0</v>
      </c>
      <c r="AJ19" s="27">
        <f t="shared" si="26"/>
        <v>0</v>
      </c>
      <c r="AK19" s="27">
        <f t="shared" si="26"/>
        <v>0</v>
      </c>
      <c r="AL19" s="27">
        <f t="shared" si="26"/>
        <v>0</v>
      </c>
    </row>
    <row r="20">
      <c r="A20" s="27">
        <v>15.0</v>
      </c>
      <c r="B20" s="27"/>
      <c r="C20" s="27">
        <f t="shared" si="2"/>
        <v>0</v>
      </c>
      <c r="E20" s="27">
        <f t="shared" si="3"/>
        <v>0</v>
      </c>
      <c r="F20" s="27">
        <v>25.0</v>
      </c>
      <c r="G20" s="27">
        <f t="shared" si="4"/>
        <v>0</v>
      </c>
      <c r="I20" s="27">
        <f t="shared" si="5"/>
        <v>0</v>
      </c>
      <c r="K20" s="27">
        <f t="shared" si="6"/>
        <v>0</v>
      </c>
      <c r="L20" s="27">
        <v>15.0</v>
      </c>
      <c r="M20" s="27">
        <f t="shared" si="7"/>
        <v>0</v>
      </c>
      <c r="N20" s="27">
        <v>15.0</v>
      </c>
      <c r="O20" s="27">
        <f t="shared" si="8"/>
        <v>0</v>
      </c>
      <c r="Q20" s="27">
        <f t="shared" si="9"/>
        <v>0</v>
      </c>
      <c r="S20" s="27">
        <v>39.0</v>
      </c>
      <c r="T20" s="27">
        <v>1.0</v>
      </c>
      <c r="U20" s="27">
        <v>0.0</v>
      </c>
      <c r="V20" s="27">
        <v>0.0</v>
      </c>
      <c r="W20" s="27">
        <v>1.0</v>
      </c>
      <c r="X20" s="27">
        <v>1.0</v>
      </c>
      <c r="Y20" s="27">
        <v>0.0</v>
      </c>
      <c r="Z20" s="27">
        <v>0.0</v>
      </c>
      <c r="AA20" s="27">
        <v>0.0</v>
      </c>
      <c r="AD20" s="27">
        <v>39.0</v>
      </c>
      <c r="AE20" s="27">
        <f t="shared" ref="AE20:AL20" si="27">T20/$S$1</f>
        <v>0.05</v>
      </c>
      <c r="AF20" s="27">
        <f t="shared" si="27"/>
        <v>0</v>
      </c>
      <c r="AG20" s="27">
        <f t="shared" si="27"/>
        <v>0</v>
      </c>
      <c r="AH20" s="27">
        <f t="shared" si="27"/>
        <v>0.05</v>
      </c>
      <c r="AI20" s="27">
        <f t="shared" si="27"/>
        <v>0.05</v>
      </c>
      <c r="AJ20" s="27">
        <f t="shared" si="27"/>
        <v>0</v>
      </c>
      <c r="AK20" s="27">
        <f t="shared" si="27"/>
        <v>0</v>
      </c>
      <c r="AL20" s="27">
        <f t="shared" si="27"/>
        <v>0</v>
      </c>
    </row>
    <row r="21" ht="15.75" customHeight="1">
      <c r="A21" s="27">
        <v>6.0</v>
      </c>
      <c r="B21" s="27"/>
      <c r="C21" s="27">
        <f t="shared" si="2"/>
        <v>0</v>
      </c>
      <c r="E21" s="27">
        <f t="shared" si="3"/>
        <v>0</v>
      </c>
      <c r="F21" s="27">
        <v>6.0</v>
      </c>
      <c r="G21" s="27">
        <f t="shared" si="4"/>
        <v>0</v>
      </c>
      <c r="I21" s="27">
        <f t="shared" si="5"/>
        <v>0</v>
      </c>
      <c r="K21" s="27">
        <f t="shared" si="6"/>
        <v>0</v>
      </c>
      <c r="L21" s="27">
        <v>6.0</v>
      </c>
      <c r="M21" s="27">
        <f t="shared" si="7"/>
        <v>0</v>
      </c>
      <c r="N21" s="27">
        <v>25.0</v>
      </c>
      <c r="O21" s="27">
        <f t="shared" si="8"/>
        <v>0</v>
      </c>
      <c r="Q21" s="27">
        <f t="shared" si="9"/>
        <v>0</v>
      </c>
      <c r="S21" s="27">
        <v>40.0</v>
      </c>
      <c r="T21" s="27">
        <v>1.0</v>
      </c>
      <c r="U21" s="27">
        <v>0.0</v>
      </c>
      <c r="V21" s="27">
        <v>0.0</v>
      </c>
      <c r="W21" s="27">
        <v>1.0</v>
      </c>
      <c r="X21" s="27">
        <v>0.0</v>
      </c>
      <c r="Y21" s="27">
        <v>0.0</v>
      </c>
      <c r="Z21" s="27">
        <v>0.0</v>
      </c>
      <c r="AA21" s="27">
        <v>0.0</v>
      </c>
      <c r="AD21" s="27">
        <v>40.0</v>
      </c>
      <c r="AE21" s="27">
        <f t="shared" ref="AE21:AL21" si="28">T21/$S$1</f>
        <v>0.05</v>
      </c>
      <c r="AF21" s="27">
        <f t="shared" si="28"/>
        <v>0</v>
      </c>
      <c r="AG21" s="27">
        <f t="shared" si="28"/>
        <v>0</v>
      </c>
      <c r="AH21" s="27">
        <f t="shared" si="28"/>
        <v>0.05</v>
      </c>
      <c r="AI21" s="27">
        <f t="shared" si="28"/>
        <v>0</v>
      </c>
      <c r="AJ21" s="27">
        <f t="shared" si="28"/>
        <v>0</v>
      </c>
      <c r="AK21" s="27">
        <f t="shared" si="28"/>
        <v>0</v>
      </c>
      <c r="AL21" s="27">
        <f t="shared" si="28"/>
        <v>0</v>
      </c>
    </row>
    <row r="22" ht="15.75" customHeight="1">
      <c r="A22" s="27">
        <v>21.0</v>
      </c>
      <c r="B22" s="27"/>
      <c r="F22" s="27">
        <v>6.0</v>
      </c>
      <c r="L22" s="27">
        <v>6.0</v>
      </c>
      <c r="N22" s="27">
        <v>15.0</v>
      </c>
    </row>
    <row r="23" ht="15.75" customHeight="1">
      <c r="A23" s="27">
        <v>15.0</v>
      </c>
      <c r="F23" s="27">
        <v>6.0</v>
      </c>
      <c r="L23" s="27">
        <v>6.0</v>
      </c>
      <c r="N23" s="27">
        <v>27.0</v>
      </c>
    </row>
    <row r="24" ht="15.75" customHeight="1">
      <c r="A24" s="27">
        <v>23.0</v>
      </c>
      <c r="F24" s="27">
        <v>6.0</v>
      </c>
      <c r="L24" s="27">
        <v>6.0</v>
      </c>
      <c r="N24" s="27">
        <v>28.0</v>
      </c>
    </row>
    <row r="25" ht="15.75" customHeight="1">
      <c r="A25" s="27">
        <v>15.0</v>
      </c>
      <c r="L25" s="27">
        <v>39.0</v>
      </c>
      <c r="N25" s="27">
        <v>15.0</v>
      </c>
    </row>
    <row r="26" ht="15.75" customHeight="1">
      <c r="A26" s="27">
        <v>25.0</v>
      </c>
      <c r="N26" s="27">
        <v>15.0</v>
      </c>
    </row>
    <row r="27" ht="15.75" customHeight="1">
      <c r="A27" s="27">
        <v>15.0</v>
      </c>
      <c r="N27" s="27">
        <v>6.0</v>
      </c>
    </row>
    <row r="28" ht="15.75" customHeight="1">
      <c r="A28" s="27">
        <v>27.0</v>
      </c>
      <c r="N28" s="27">
        <v>27.0</v>
      </c>
    </row>
    <row r="29" ht="15.75" customHeight="1">
      <c r="A29" s="27">
        <v>28.0</v>
      </c>
      <c r="N29" s="27">
        <v>33.0</v>
      </c>
    </row>
    <row r="30" ht="15.75" customHeight="1">
      <c r="A30" s="27">
        <v>15.0</v>
      </c>
      <c r="N30" s="27">
        <v>6.0</v>
      </c>
    </row>
    <row r="31" ht="15.75" customHeight="1">
      <c r="A31" s="27">
        <v>15.0</v>
      </c>
      <c r="N31" s="27">
        <v>6.0</v>
      </c>
    </row>
    <row r="32" ht="15.75" customHeight="1">
      <c r="A32" s="27">
        <v>6.0</v>
      </c>
      <c r="N32" s="27">
        <v>36.0</v>
      </c>
    </row>
    <row r="33" ht="15.75" customHeight="1">
      <c r="A33" s="27">
        <v>27.0</v>
      </c>
      <c r="N33" s="27">
        <v>6.0</v>
      </c>
    </row>
    <row r="34" ht="15.75" customHeight="1">
      <c r="A34" s="27">
        <v>33.0</v>
      </c>
      <c r="N34" s="27">
        <v>15.0</v>
      </c>
    </row>
    <row r="35" ht="15.75" customHeight="1">
      <c r="A35" s="27">
        <v>6.0</v>
      </c>
      <c r="N35" s="27">
        <v>39.0</v>
      </c>
    </row>
    <row r="36" ht="15.75" customHeight="1">
      <c r="A36" s="27">
        <v>6.0</v>
      </c>
      <c r="N36" s="27">
        <v>40.0</v>
      </c>
    </row>
    <row r="37" ht="15.75" customHeight="1">
      <c r="A37" s="27">
        <v>36.0</v>
      </c>
    </row>
    <row r="38" ht="15.75" customHeight="1">
      <c r="A38" s="27">
        <v>6.0</v>
      </c>
    </row>
    <row r="39" ht="15.75" customHeight="1">
      <c r="A39" s="27">
        <v>15.0</v>
      </c>
    </row>
    <row r="40" ht="15.75" customHeight="1">
      <c r="A40" s="27">
        <v>39.0</v>
      </c>
    </row>
    <row r="41" ht="15.75" customHeight="1">
      <c r="A41" s="27">
        <v>40.0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86"/>
  </cols>
  <sheetData>
    <row r="1">
      <c r="A1" s="27" t="s">
        <v>89</v>
      </c>
      <c r="B1" s="27" t="str">
        <f t="array" ref="B1">_xludf.UNIQUE(A:A)</f>
        <v>#NAME?</v>
      </c>
      <c r="C1" s="27" t="s">
        <v>89</v>
      </c>
      <c r="D1" s="33" t="s">
        <v>36</v>
      </c>
      <c r="E1" s="33" t="s">
        <v>36</v>
      </c>
      <c r="F1" s="33" t="s">
        <v>35</v>
      </c>
      <c r="G1" s="33" t="s">
        <v>35</v>
      </c>
      <c r="H1" s="27" t="s">
        <v>90</v>
      </c>
      <c r="I1" s="27" t="s">
        <v>90</v>
      </c>
      <c r="J1" s="27" t="s">
        <v>94</v>
      </c>
      <c r="K1" s="27" t="s">
        <v>94</v>
      </c>
      <c r="L1" s="27" t="s">
        <v>96</v>
      </c>
      <c r="M1" s="27" t="s">
        <v>96</v>
      </c>
      <c r="N1" s="27" t="s">
        <v>95</v>
      </c>
      <c r="O1" s="27" t="s">
        <v>95</v>
      </c>
      <c r="P1" s="27" t="s">
        <v>97</v>
      </c>
      <c r="Q1" s="27" t="s">
        <v>97</v>
      </c>
      <c r="S1" s="27">
        <f>COUNT(S2:S241)</f>
        <v>240</v>
      </c>
      <c r="T1" s="27" t="s">
        <v>89</v>
      </c>
      <c r="U1" s="27" t="s">
        <v>90</v>
      </c>
      <c r="V1" s="27" t="s">
        <v>94</v>
      </c>
      <c r="W1" s="27" t="s">
        <v>95</v>
      </c>
      <c r="X1" s="27" t="s">
        <v>96</v>
      </c>
      <c r="Y1" s="33" t="s">
        <v>36</v>
      </c>
      <c r="Z1" s="33" t="s">
        <v>35</v>
      </c>
      <c r="AA1" s="27" t="s">
        <v>97</v>
      </c>
      <c r="AD1" s="27" t="s">
        <v>89</v>
      </c>
      <c r="AE1" s="27" t="s">
        <v>90</v>
      </c>
      <c r="AF1" s="27" t="s">
        <v>94</v>
      </c>
      <c r="AG1" s="27" t="s">
        <v>95</v>
      </c>
      <c r="AH1" s="27" t="s">
        <v>96</v>
      </c>
      <c r="AI1" s="27" t="s">
        <v>98</v>
      </c>
      <c r="AJ1" s="27" t="s">
        <v>99</v>
      </c>
      <c r="AK1" s="27" t="s">
        <v>97</v>
      </c>
    </row>
    <row r="2">
      <c r="A2" s="27">
        <v>1.0</v>
      </c>
      <c r="B2" s="27"/>
      <c r="C2" s="27">
        <f t="shared" ref="C2:C241" si="2">COUNTIF(A:A,$B2)</f>
        <v>0</v>
      </c>
      <c r="D2" s="27">
        <v>1.0</v>
      </c>
      <c r="E2" s="27">
        <f t="shared" ref="E2:E241" si="3">COUNTIF(D:D, $B2)</f>
        <v>0</v>
      </c>
      <c r="F2" s="27">
        <v>2.0</v>
      </c>
      <c r="G2" s="27">
        <f t="shared" ref="G2:G241" si="4">COUNTIF(F:F,$B2)</f>
        <v>0</v>
      </c>
      <c r="H2" s="27">
        <v>1.0</v>
      </c>
      <c r="I2" s="27">
        <f t="shared" ref="I2:I241" si="5">COUNTIF(H:H,$B2)</f>
        <v>0</v>
      </c>
      <c r="J2" s="27">
        <v>1.0</v>
      </c>
      <c r="K2" s="27">
        <f t="shared" ref="K2:K241" si="6">COUNTIF(J:J,$B2)</f>
        <v>0</v>
      </c>
      <c r="L2" s="27">
        <v>1.0</v>
      </c>
      <c r="M2" s="27">
        <f t="shared" ref="M2:M241" si="7">COUNTIF(L:L,$B2)</f>
        <v>0</v>
      </c>
      <c r="N2" s="27">
        <v>10.0</v>
      </c>
      <c r="O2" s="27">
        <f t="shared" ref="O2:O241" si="8">COUNTIF(N:N,$B2)</f>
        <v>0</v>
      </c>
      <c r="P2" s="27">
        <v>1.0</v>
      </c>
      <c r="Q2" s="27">
        <f t="shared" ref="Q2:Q241" si="9">COUNTIF(P:P,$B2)</f>
        <v>0</v>
      </c>
      <c r="S2" s="27">
        <v>1.0</v>
      </c>
      <c r="T2" s="27">
        <v>3.0</v>
      </c>
      <c r="U2" s="27">
        <v>2.0</v>
      </c>
      <c r="V2" s="27">
        <v>3.0</v>
      </c>
      <c r="W2" s="27">
        <v>0.0</v>
      </c>
      <c r="X2" s="27">
        <v>3.0</v>
      </c>
      <c r="Y2" s="27">
        <v>2.0</v>
      </c>
      <c r="Z2" s="27">
        <v>0.0</v>
      </c>
      <c r="AA2" s="27">
        <v>3.0</v>
      </c>
      <c r="AC2" s="27">
        <v>1.0</v>
      </c>
      <c r="AD2" s="27">
        <f t="shared" ref="AD2:AK2" si="1">T2/$S$1</f>
        <v>0.0125</v>
      </c>
      <c r="AE2" s="27">
        <f t="shared" si="1"/>
        <v>0.008333333333</v>
      </c>
      <c r="AF2" s="27">
        <f t="shared" si="1"/>
        <v>0.0125</v>
      </c>
      <c r="AG2" s="27">
        <f t="shared" si="1"/>
        <v>0</v>
      </c>
      <c r="AH2" s="27">
        <f t="shared" si="1"/>
        <v>0.0125</v>
      </c>
      <c r="AI2" s="27">
        <f t="shared" si="1"/>
        <v>0.008333333333</v>
      </c>
      <c r="AJ2" s="27">
        <f t="shared" si="1"/>
        <v>0</v>
      </c>
      <c r="AK2" s="27">
        <f t="shared" si="1"/>
        <v>0.0125</v>
      </c>
    </row>
    <row r="3">
      <c r="A3" s="27">
        <v>2.0</v>
      </c>
      <c r="B3" s="27"/>
      <c r="C3" s="27">
        <f t="shared" si="2"/>
        <v>0</v>
      </c>
      <c r="D3" s="27">
        <v>2.0</v>
      </c>
      <c r="E3" s="27">
        <f t="shared" si="3"/>
        <v>0</v>
      </c>
      <c r="F3" s="27">
        <v>13.0</v>
      </c>
      <c r="G3" s="27">
        <f t="shared" si="4"/>
        <v>0</v>
      </c>
      <c r="H3" s="27">
        <v>2.0</v>
      </c>
      <c r="I3" s="27">
        <f t="shared" si="5"/>
        <v>0</v>
      </c>
      <c r="J3" s="27">
        <v>2.0</v>
      </c>
      <c r="K3" s="27">
        <f t="shared" si="6"/>
        <v>0</v>
      </c>
      <c r="L3" s="27">
        <v>2.0</v>
      </c>
      <c r="M3" s="27">
        <f t="shared" si="7"/>
        <v>0</v>
      </c>
      <c r="N3" s="27">
        <v>10.0</v>
      </c>
      <c r="O3" s="27">
        <f t="shared" si="8"/>
        <v>0</v>
      </c>
      <c r="P3" s="27">
        <v>7.0</v>
      </c>
      <c r="Q3" s="27">
        <f t="shared" si="9"/>
        <v>0</v>
      </c>
      <c r="S3" s="27">
        <v>2.0</v>
      </c>
      <c r="T3" s="27">
        <v>9.0</v>
      </c>
      <c r="U3" s="27">
        <v>3.0</v>
      </c>
      <c r="V3" s="27">
        <v>4.0</v>
      </c>
      <c r="W3" s="27">
        <v>0.0</v>
      </c>
      <c r="X3" s="27">
        <v>9.0</v>
      </c>
      <c r="Y3" s="27">
        <v>4.0</v>
      </c>
      <c r="Z3" s="27">
        <v>3.0</v>
      </c>
      <c r="AA3" s="27">
        <v>0.0</v>
      </c>
      <c r="AC3" s="27">
        <v>2.0</v>
      </c>
      <c r="AD3" s="27">
        <f t="shared" ref="AD3:AK3" si="10">T3/$S$1</f>
        <v>0.0375</v>
      </c>
      <c r="AE3" s="27">
        <f t="shared" si="10"/>
        <v>0.0125</v>
      </c>
      <c r="AF3" s="27">
        <f t="shared" si="10"/>
        <v>0.01666666667</v>
      </c>
      <c r="AG3" s="27">
        <f t="shared" si="10"/>
        <v>0</v>
      </c>
      <c r="AH3" s="27">
        <f t="shared" si="10"/>
        <v>0.0375</v>
      </c>
      <c r="AI3" s="27">
        <f t="shared" si="10"/>
        <v>0.01666666667</v>
      </c>
      <c r="AJ3" s="27">
        <f t="shared" si="10"/>
        <v>0.0125</v>
      </c>
      <c r="AK3" s="27">
        <f t="shared" si="10"/>
        <v>0</v>
      </c>
    </row>
    <row r="4">
      <c r="A4" s="27">
        <v>3.0</v>
      </c>
      <c r="B4" s="27"/>
      <c r="C4" s="27">
        <f t="shared" si="2"/>
        <v>0</v>
      </c>
      <c r="D4" s="27">
        <v>5.0</v>
      </c>
      <c r="E4" s="27">
        <f t="shared" si="3"/>
        <v>0</v>
      </c>
      <c r="F4" s="27">
        <v>18.0</v>
      </c>
      <c r="G4" s="27">
        <f t="shared" si="4"/>
        <v>0</v>
      </c>
      <c r="H4" s="27">
        <v>7.0</v>
      </c>
      <c r="I4" s="27">
        <f t="shared" si="5"/>
        <v>0</v>
      </c>
      <c r="J4" s="27">
        <v>3.0</v>
      </c>
      <c r="K4" s="27">
        <f t="shared" si="6"/>
        <v>0</v>
      </c>
      <c r="L4" s="27">
        <v>5.0</v>
      </c>
      <c r="M4" s="27">
        <f t="shared" si="7"/>
        <v>0</v>
      </c>
      <c r="N4" s="27">
        <v>17.0</v>
      </c>
      <c r="O4" s="27">
        <f t="shared" si="8"/>
        <v>0</v>
      </c>
      <c r="P4" s="27">
        <v>13.0</v>
      </c>
      <c r="Q4" s="27">
        <f t="shared" si="9"/>
        <v>0</v>
      </c>
      <c r="S4" s="27">
        <v>3.0</v>
      </c>
      <c r="T4" s="27">
        <v>3.0</v>
      </c>
      <c r="U4" s="27">
        <v>0.0</v>
      </c>
      <c r="V4" s="27">
        <v>3.0</v>
      </c>
      <c r="W4" s="27">
        <v>0.0</v>
      </c>
      <c r="X4" s="27">
        <v>0.0</v>
      </c>
      <c r="Y4" s="27">
        <v>0.0</v>
      </c>
      <c r="Z4" s="27">
        <v>0.0</v>
      </c>
      <c r="AA4" s="27">
        <v>0.0</v>
      </c>
      <c r="AC4" s="27">
        <v>3.0</v>
      </c>
      <c r="AD4" s="27">
        <f t="shared" ref="AD4:AK4" si="11">T4/$S$1</f>
        <v>0.0125</v>
      </c>
      <c r="AE4" s="27">
        <f t="shared" si="11"/>
        <v>0</v>
      </c>
      <c r="AF4" s="27">
        <f t="shared" si="11"/>
        <v>0.0125</v>
      </c>
      <c r="AG4" s="27">
        <f t="shared" si="11"/>
        <v>0</v>
      </c>
      <c r="AH4" s="27">
        <f t="shared" si="11"/>
        <v>0</v>
      </c>
      <c r="AI4" s="27">
        <f t="shared" si="11"/>
        <v>0</v>
      </c>
      <c r="AJ4" s="27">
        <f t="shared" si="11"/>
        <v>0</v>
      </c>
      <c r="AK4" s="27">
        <f t="shared" si="11"/>
        <v>0</v>
      </c>
    </row>
    <row r="5">
      <c r="A5" s="27">
        <v>3.0</v>
      </c>
      <c r="B5" s="27"/>
      <c r="C5" s="27">
        <f t="shared" si="2"/>
        <v>0</v>
      </c>
      <c r="D5" s="27">
        <v>5.0</v>
      </c>
      <c r="E5" s="27">
        <f t="shared" si="3"/>
        <v>0</v>
      </c>
      <c r="F5" s="27">
        <v>2.0</v>
      </c>
      <c r="G5" s="27">
        <f t="shared" si="4"/>
        <v>0</v>
      </c>
      <c r="H5" s="27">
        <v>13.0</v>
      </c>
      <c r="I5" s="27">
        <f t="shared" si="5"/>
        <v>0</v>
      </c>
      <c r="J5" s="27">
        <v>3.0</v>
      </c>
      <c r="K5" s="27">
        <f t="shared" si="6"/>
        <v>0</v>
      </c>
      <c r="L5" s="27">
        <v>5.0</v>
      </c>
      <c r="M5" s="27">
        <f t="shared" si="7"/>
        <v>0</v>
      </c>
      <c r="N5" s="27">
        <v>164.0</v>
      </c>
      <c r="O5" s="27">
        <f t="shared" si="8"/>
        <v>0</v>
      </c>
      <c r="P5" s="27">
        <v>15.0</v>
      </c>
      <c r="Q5" s="27">
        <f t="shared" si="9"/>
        <v>0</v>
      </c>
      <c r="S5" s="27">
        <v>5.0</v>
      </c>
      <c r="T5" s="27">
        <v>5.0</v>
      </c>
      <c r="U5" s="27">
        <v>0.0</v>
      </c>
      <c r="V5" s="27">
        <v>0.0</v>
      </c>
      <c r="W5" s="27">
        <v>0.0</v>
      </c>
      <c r="X5" s="27">
        <v>5.0</v>
      </c>
      <c r="Y5" s="27">
        <v>5.0</v>
      </c>
      <c r="Z5" s="27">
        <v>0.0</v>
      </c>
      <c r="AA5" s="27">
        <v>0.0</v>
      </c>
      <c r="AC5" s="27">
        <v>5.0</v>
      </c>
      <c r="AD5" s="27">
        <f t="shared" ref="AD5:AK5" si="12">T5/$S$1</f>
        <v>0.02083333333</v>
      </c>
      <c r="AE5" s="27">
        <f t="shared" si="12"/>
        <v>0</v>
      </c>
      <c r="AF5" s="27">
        <f t="shared" si="12"/>
        <v>0</v>
      </c>
      <c r="AG5" s="27">
        <f t="shared" si="12"/>
        <v>0</v>
      </c>
      <c r="AH5" s="27">
        <f t="shared" si="12"/>
        <v>0.02083333333</v>
      </c>
      <c r="AI5" s="27">
        <f t="shared" si="12"/>
        <v>0.02083333333</v>
      </c>
      <c r="AJ5" s="27">
        <f t="shared" si="12"/>
        <v>0</v>
      </c>
      <c r="AK5" s="27">
        <f t="shared" si="12"/>
        <v>0</v>
      </c>
    </row>
    <row r="6">
      <c r="A6" s="27">
        <v>5.0</v>
      </c>
      <c r="B6" s="27"/>
      <c r="C6" s="27">
        <f t="shared" si="2"/>
        <v>0</v>
      </c>
      <c r="D6" s="27">
        <v>7.0</v>
      </c>
      <c r="E6" s="27">
        <f t="shared" si="3"/>
        <v>0</v>
      </c>
      <c r="F6" s="27">
        <v>2.0</v>
      </c>
      <c r="G6" s="27">
        <f t="shared" si="4"/>
        <v>0</v>
      </c>
      <c r="H6" s="27">
        <v>15.0</v>
      </c>
      <c r="I6" s="27">
        <f t="shared" si="5"/>
        <v>0</v>
      </c>
      <c r="J6" s="27">
        <v>7.0</v>
      </c>
      <c r="K6" s="27">
        <f t="shared" si="6"/>
        <v>0</v>
      </c>
      <c r="L6" s="27">
        <v>7.0</v>
      </c>
      <c r="M6" s="27">
        <f t="shared" si="7"/>
        <v>0</v>
      </c>
      <c r="N6" s="27">
        <v>214.0</v>
      </c>
      <c r="O6" s="27">
        <f t="shared" si="8"/>
        <v>0</v>
      </c>
      <c r="P6" s="27">
        <v>17.0</v>
      </c>
      <c r="Q6" s="27">
        <f t="shared" si="9"/>
        <v>0</v>
      </c>
      <c r="S6" s="27">
        <v>7.0</v>
      </c>
      <c r="T6" s="27">
        <v>1.0</v>
      </c>
      <c r="U6" s="27">
        <v>1.0</v>
      </c>
      <c r="V6" s="27">
        <v>1.0</v>
      </c>
      <c r="W6" s="27">
        <v>0.0</v>
      </c>
      <c r="X6" s="27">
        <v>1.0</v>
      </c>
      <c r="Y6" s="27">
        <v>1.0</v>
      </c>
      <c r="Z6" s="27">
        <v>0.0</v>
      </c>
      <c r="AA6" s="27">
        <v>1.0</v>
      </c>
      <c r="AC6" s="27">
        <v>7.0</v>
      </c>
      <c r="AD6" s="27">
        <f t="shared" ref="AD6:AK6" si="13">T6/$S$1</f>
        <v>0.004166666667</v>
      </c>
      <c r="AE6" s="27">
        <f t="shared" si="13"/>
        <v>0.004166666667</v>
      </c>
      <c r="AF6" s="27">
        <f t="shared" si="13"/>
        <v>0.004166666667</v>
      </c>
      <c r="AG6" s="27">
        <f t="shared" si="13"/>
        <v>0</v>
      </c>
      <c r="AH6" s="27">
        <f t="shared" si="13"/>
        <v>0.004166666667</v>
      </c>
      <c r="AI6" s="27">
        <f t="shared" si="13"/>
        <v>0.004166666667</v>
      </c>
      <c r="AJ6" s="27">
        <f t="shared" si="13"/>
        <v>0</v>
      </c>
      <c r="AK6" s="27">
        <f t="shared" si="13"/>
        <v>0.004166666667</v>
      </c>
    </row>
    <row r="7">
      <c r="A7" s="27">
        <v>5.0</v>
      </c>
      <c r="B7" s="27"/>
      <c r="C7" s="27">
        <f t="shared" si="2"/>
        <v>0</v>
      </c>
      <c r="D7" s="27">
        <v>13.0</v>
      </c>
      <c r="E7" s="27">
        <f t="shared" si="3"/>
        <v>0</v>
      </c>
      <c r="F7" s="27">
        <v>33.0</v>
      </c>
      <c r="G7" s="27">
        <f t="shared" si="4"/>
        <v>0</v>
      </c>
      <c r="H7" s="27">
        <v>15.0</v>
      </c>
      <c r="I7" s="27">
        <f t="shared" si="5"/>
        <v>0</v>
      </c>
      <c r="J7" s="27">
        <v>10.0</v>
      </c>
      <c r="K7" s="27">
        <f t="shared" si="6"/>
        <v>0</v>
      </c>
      <c r="L7" s="27">
        <v>10.0</v>
      </c>
      <c r="M7" s="27">
        <f t="shared" si="7"/>
        <v>0</v>
      </c>
      <c r="N7" s="27">
        <v>214.0</v>
      </c>
      <c r="O7" s="27">
        <f t="shared" si="8"/>
        <v>0</v>
      </c>
      <c r="P7" s="27">
        <v>18.0</v>
      </c>
      <c r="Q7" s="27">
        <f t="shared" si="9"/>
        <v>0</v>
      </c>
      <c r="S7" s="27">
        <v>8.0</v>
      </c>
      <c r="T7" s="27">
        <v>1.0</v>
      </c>
      <c r="U7" s="27">
        <v>0.0</v>
      </c>
      <c r="V7" s="27">
        <v>0.0</v>
      </c>
      <c r="W7" s="27">
        <v>0.0</v>
      </c>
      <c r="X7" s="27">
        <v>0.0</v>
      </c>
      <c r="Y7" s="27">
        <v>0.0</v>
      </c>
      <c r="Z7" s="27">
        <v>0.0</v>
      </c>
      <c r="AA7" s="27">
        <v>0.0</v>
      </c>
      <c r="AC7" s="27">
        <v>8.0</v>
      </c>
      <c r="AD7" s="27">
        <f t="shared" ref="AD7:AK7" si="14">T7/$S$1</f>
        <v>0.004166666667</v>
      </c>
      <c r="AE7" s="27">
        <f t="shared" si="14"/>
        <v>0</v>
      </c>
      <c r="AF7" s="27">
        <f t="shared" si="14"/>
        <v>0</v>
      </c>
      <c r="AG7" s="27">
        <f t="shared" si="14"/>
        <v>0</v>
      </c>
      <c r="AH7" s="27">
        <f t="shared" si="14"/>
        <v>0</v>
      </c>
      <c r="AI7" s="27">
        <f t="shared" si="14"/>
        <v>0</v>
      </c>
      <c r="AJ7" s="27">
        <f t="shared" si="14"/>
        <v>0</v>
      </c>
      <c r="AK7" s="27">
        <f t="shared" si="14"/>
        <v>0</v>
      </c>
    </row>
    <row r="8">
      <c r="A8" s="27">
        <v>7.0</v>
      </c>
      <c r="B8" s="27"/>
      <c r="C8" s="27">
        <f t="shared" si="2"/>
        <v>0</v>
      </c>
      <c r="D8" s="27">
        <v>15.0</v>
      </c>
      <c r="E8" s="27">
        <f t="shared" si="3"/>
        <v>0</v>
      </c>
      <c r="F8" s="27">
        <v>35.0</v>
      </c>
      <c r="G8" s="27">
        <f t="shared" si="4"/>
        <v>0</v>
      </c>
      <c r="H8" s="27">
        <v>17.0</v>
      </c>
      <c r="I8" s="27">
        <f t="shared" si="5"/>
        <v>0</v>
      </c>
      <c r="J8" s="27">
        <v>12.0</v>
      </c>
      <c r="K8" s="27">
        <f t="shared" si="6"/>
        <v>0</v>
      </c>
      <c r="L8" s="27">
        <v>10.0</v>
      </c>
      <c r="M8" s="27">
        <f t="shared" si="7"/>
        <v>0</v>
      </c>
      <c r="N8" s="27">
        <v>327.0</v>
      </c>
      <c r="O8" s="27">
        <f t="shared" si="8"/>
        <v>0</v>
      </c>
      <c r="P8" s="27">
        <v>17.0</v>
      </c>
      <c r="Q8" s="27">
        <f t="shared" si="9"/>
        <v>0</v>
      </c>
      <c r="S8" s="27">
        <v>9.0</v>
      </c>
      <c r="T8" s="27">
        <v>2.0</v>
      </c>
      <c r="U8" s="27">
        <v>0.0</v>
      </c>
      <c r="V8" s="27">
        <v>0.0</v>
      </c>
      <c r="W8" s="27">
        <v>0.0</v>
      </c>
      <c r="X8" s="27">
        <v>0.0</v>
      </c>
      <c r="Y8" s="27">
        <v>0.0</v>
      </c>
      <c r="Z8" s="27">
        <v>0.0</v>
      </c>
      <c r="AA8" s="27">
        <v>0.0</v>
      </c>
      <c r="AC8" s="27">
        <v>9.0</v>
      </c>
      <c r="AD8" s="27">
        <f t="shared" ref="AD8:AK8" si="15">T8/$S$1</f>
        <v>0.008333333333</v>
      </c>
      <c r="AE8" s="27">
        <f t="shared" si="15"/>
        <v>0</v>
      </c>
      <c r="AF8" s="27">
        <f t="shared" si="15"/>
        <v>0</v>
      </c>
      <c r="AG8" s="27">
        <f t="shared" si="15"/>
        <v>0</v>
      </c>
      <c r="AH8" s="27">
        <f t="shared" si="15"/>
        <v>0</v>
      </c>
      <c r="AI8" s="27">
        <f t="shared" si="15"/>
        <v>0</v>
      </c>
      <c r="AJ8" s="27">
        <f t="shared" si="15"/>
        <v>0</v>
      </c>
      <c r="AK8" s="27">
        <f t="shared" si="15"/>
        <v>0</v>
      </c>
    </row>
    <row r="9">
      <c r="A9" s="27">
        <v>8.0</v>
      </c>
      <c r="B9" s="27"/>
      <c r="C9" s="27">
        <f t="shared" si="2"/>
        <v>0</v>
      </c>
      <c r="D9" s="27">
        <v>15.0</v>
      </c>
      <c r="E9" s="27">
        <f t="shared" si="3"/>
        <v>0</v>
      </c>
      <c r="F9" s="27">
        <v>35.0</v>
      </c>
      <c r="G9" s="27">
        <f t="shared" si="4"/>
        <v>0</v>
      </c>
      <c r="H9" s="27">
        <v>18.0</v>
      </c>
      <c r="I9" s="27">
        <f t="shared" si="5"/>
        <v>0</v>
      </c>
      <c r="J9" s="27">
        <v>13.0</v>
      </c>
      <c r="K9" s="27">
        <f t="shared" si="6"/>
        <v>0</v>
      </c>
      <c r="L9" s="27">
        <v>12.0</v>
      </c>
      <c r="M9" s="27">
        <f t="shared" si="7"/>
        <v>0</v>
      </c>
      <c r="N9" s="27">
        <v>145.0</v>
      </c>
      <c r="O9" s="27">
        <f t="shared" si="8"/>
        <v>0</v>
      </c>
      <c r="P9" s="27">
        <v>28.0</v>
      </c>
      <c r="Q9" s="27">
        <f t="shared" si="9"/>
        <v>0</v>
      </c>
      <c r="S9" s="27">
        <v>10.0</v>
      </c>
      <c r="T9" s="27">
        <v>2.0</v>
      </c>
      <c r="U9" s="27">
        <v>0.0</v>
      </c>
      <c r="V9" s="27">
        <v>1.0</v>
      </c>
      <c r="W9" s="27">
        <v>2.0</v>
      </c>
      <c r="X9" s="27">
        <v>2.0</v>
      </c>
      <c r="Y9" s="27">
        <v>0.0</v>
      </c>
      <c r="Z9" s="27">
        <v>0.0</v>
      </c>
      <c r="AA9" s="27">
        <v>0.0</v>
      </c>
      <c r="AC9" s="27">
        <v>10.0</v>
      </c>
      <c r="AD9" s="27">
        <f t="shared" ref="AD9:AK9" si="16">T9/$S$1</f>
        <v>0.008333333333</v>
      </c>
      <c r="AE9" s="27">
        <f t="shared" si="16"/>
        <v>0</v>
      </c>
      <c r="AF9" s="27">
        <f t="shared" si="16"/>
        <v>0.004166666667</v>
      </c>
      <c r="AG9" s="27">
        <f t="shared" si="16"/>
        <v>0.008333333333</v>
      </c>
      <c r="AH9" s="27">
        <f t="shared" si="16"/>
        <v>0.008333333333</v>
      </c>
      <c r="AI9" s="27">
        <f t="shared" si="16"/>
        <v>0</v>
      </c>
      <c r="AJ9" s="27">
        <f t="shared" si="16"/>
        <v>0</v>
      </c>
      <c r="AK9" s="27">
        <f t="shared" si="16"/>
        <v>0</v>
      </c>
    </row>
    <row r="10">
      <c r="A10" s="27">
        <v>9.0</v>
      </c>
      <c r="B10" s="27"/>
      <c r="C10" s="27">
        <f t="shared" si="2"/>
        <v>0</v>
      </c>
      <c r="D10" s="27">
        <v>17.0</v>
      </c>
      <c r="E10" s="27">
        <f t="shared" si="3"/>
        <v>0</v>
      </c>
      <c r="F10" s="27">
        <v>40.0</v>
      </c>
      <c r="G10" s="27">
        <f t="shared" si="4"/>
        <v>0</v>
      </c>
      <c r="H10" s="27">
        <v>17.0</v>
      </c>
      <c r="I10" s="27">
        <f t="shared" si="5"/>
        <v>0</v>
      </c>
      <c r="J10" s="27">
        <v>15.0</v>
      </c>
      <c r="K10" s="27">
        <f t="shared" si="6"/>
        <v>0</v>
      </c>
      <c r="L10" s="27">
        <v>13.0</v>
      </c>
      <c r="M10" s="27">
        <f t="shared" si="7"/>
        <v>0</v>
      </c>
      <c r="N10" s="27">
        <v>24.0</v>
      </c>
      <c r="O10" s="27">
        <f t="shared" si="8"/>
        <v>0</v>
      </c>
      <c r="P10" s="27">
        <v>15.0</v>
      </c>
      <c r="Q10" s="27">
        <f t="shared" si="9"/>
        <v>0</v>
      </c>
      <c r="S10" s="27">
        <v>12.0</v>
      </c>
      <c r="T10" s="27">
        <v>8.0</v>
      </c>
      <c r="U10" s="27">
        <v>0.0</v>
      </c>
      <c r="V10" s="27">
        <v>8.0</v>
      </c>
      <c r="W10" s="27">
        <v>0.0</v>
      </c>
      <c r="X10" s="27">
        <v>7.0</v>
      </c>
      <c r="Y10" s="27">
        <v>0.0</v>
      </c>
      <c r="Z10" s="27">
        <v>0.0</v>
      </c>
      <c r="AA10" s="27">
        <v>0.0</v>
      </c>
      <c r="AC10" s="27">
        <v>12.0</v>
      </c>
      <c r="AD10" s="27">
        <f t="shared" ref="AD10:AK10" si="17">T10/$S$1</f>
        <v>0.03333333333</v>
      </c>
      <c r="AE10" s="27">
        <f t="shared" si="17"/>
        <v>0</v>
      </c>
      <c r="AF10" s="27">
        <f t="shared" si="17"/>
        <v>0.03333333333</v>
      </c>
      <c r="AG10" s="27">
        <f t="shared" si="17"/>
        <v>0</v>
      </c>
      <c r="AH10" s="27">
        <f t="shared" si="17"/>
        <v>0.02916666667</v>
      </c>
      <c r="AI10" s="27">
        <f t="shared" si="17"/>
        <v>0</v>
      </c>
      <c r="AJ10" s="27">
        <f t="shared" si="17"/>
        <v>0</v>
      </c>
      <c r="AK10" s="27">
        <f t="shared" si="17"/>
        <v>0</v>
      </c>
    </row>
    <row r="11">
      <c r="A11" s="27">
        <v>10.0</v>
      </c>
      <c r="B11" s="27"/>
      <c r="C11" s="27">
        <f t="shared" si="2"/>
        <v>0</v>
      </c>
      <c r="D11" s="27">
        <v>18.0</v>
      </c>
      <c r="E11" s="27">
        <f t="shared" si="3"/>
        <v>0</v>
      </c>
      <c r="F11" s="27">
        <v>17.0</v>
      </c>
      <c r="G11" s="27">
        <f t="shared" si="4"/>
        <v>0</v>
      </c>
      <c r="H11" s="27">
        <v>24.0</v>
      </c>
      <c r="I11" s="27">
        <f t="shared" si="5"/>
        <v>0</v>
      </c>
      <c r="J11" s="27">
        <v>15.0</v>
      </c>
      <c r="K11" s="27">
        <f t="shared" si="6"/>
        <v>0</v>
      </c>
      <c r="L11" s="27">
        <v>2.0</v>
      </c>
      <c r="M11" s="27">
        <f t="shared" si="7"/>
        <v>0</v>
      </c>
      <c r="N11" s="27">
        <v>452.0</v>
      </c>
      <c r="O11" s="27">
        <f t="shared" si="8"/>
        <v>0</v>
      </c>
      <c r="P11" s="27">
        <v>34.0</v>
      </c>
      <c r="Q11" s="27">
        <f t="shared" si="9"/>
        <v>0</v>
      </c>
      <c r="S11" s="27">
        <v>13.0</v>
      </c>
      <c r="T11" s="27">
        <v>1.0</v>
      </c>
      <c r="U11" s="27">
        <v>1.0</v>
      </c>
      <c r="V11" s="27">
        <v>1.0</v>
      </c>
      <c r="W11" s="27">
        <v>0.0</v>
      </c>
      <c r="X11" s="27">
        <v>1.0</v>
      </c>
      <c r="Y11" s="27">
        <v>1.0</v>
      </c>
      <c r="Z11" s="27">
        <v>1.0</v>
      </c>
      <c r="AA11" s="27">
        <v>1.0</v>
      </c>
      <c r="AC11" s="27">
        <v>13.0</v>
      </c>
      <c r="AD11" s="27">
        <f t="shared" ref="AD11:AK11" si="18">T11/$S$1</f>
        <v>0.004166666667</v>
      </c>
      <c r="AE11" s="27">
        <f t="shared" si="18"/>
        <v>0.004166666667</v>
      </c>
      <c r="AF11" s="27">
        <f t="shared" si="18"/>
        <v>0.004166666667</v>
      </c>
      <c r="AG11" s="27">
        <f t="shared" si="18"/>
        <v>0</v>
      </c>
      <c r="AH11" s="27">
        <f t="shared" si="18"/>
        <v>0.004166666667</v>
      </c>
      <c r="AI11" s="27">
        <f t="shared" si="18"/>
        <v>0.004166666667</v>
      </c>
      <c r="AJ11" s="27">
        <f t="shared" si="18"/>
        <v>0.004166666667</v>
      </c>
      <c r="AK11" s="27">
        <f t="shared" si="18"/>
        <v>0.004166666667</v>
      </c>
    </row>
    <row r="12">
      <c r="A12" s="27">
        <v>10.0</v>
      </c>
      <c r="B12" s="27"/>
      <c r="C12" s="27">
        <f t="shared" si="2"/>
        <v>0</v>
      </c>
      <c r="D12" s="27">
        <v>19.0</v>
      </c>
      <c r="E12" s="27">
        <f t="shared" si="3"/>
        <v>0</v>
      </c>
      <c r="F12" s="27">
        <v>47.0</v>
      </c>
      <c r="G12" s="27">
        <f t="shared" si="4"/>
        <v>0</v>
      </c>
      <c r="H12" s="27">
        <v>25.0</v>
      </c>
      <c r="I12" s="27">
        <f t="shared" si="5"/>
        <v>0</v>
      </c>
      <c r="J12" s="27">
        <v>17.0</v>
      </c>
      <c r="K12" s="27">
        <f t="shared" si="6"/>
        <v>0</v>
      </c>
      <c r="L12" s="27">
        <v>15.0</v>
      </c>
      <c r="M12" s="27">
        <f t="shared" si="7"/>
        <v>0</v>
      </c>
      <c r="N12" s="27">
        <v>464.0</v>
      </c>
      <c r="O12" s="27">
        <f t="shared" si="8"/>
        <v>0</v>
      </c>
      <c r="P12" s="27">
        <v>17.0</v>
      </c>
      <c r="Q12" s="27">
        <f t="shared" si="9"/>
        <v>0</v>
      </c>
      <c r="S12" s="27">
        <v>15.0</v>
      </c>
      <c r="T12" s="27">
        <v>3.0</v>
      </c>
      <c r="U12" s="27">
        <v>3.0</v>
      </c>
      <c r="V12" s="27">
        <v>3.0</v>
      </c>
      <c r="W12" s="27">
        <v>0.0</v>
      </c>
      <c r="X12" s="27">
        <v>3.0</v>
      </c>
      <c r="Y12" s="27">
        <v>3.0</v>
      </c>
      <c r="Z12" s="27">
        <v>0.0</v>
      </c>
      <c r="AA12" s="27">
        <v>2.0</v>
      </c>
      <c r="AC12" s="27">
        <v>15.0</v>
      </c>
      <c r="AD12" s="27">
        <f t="shared" ref="AD12:AK12" si="19">T12/$S$1</f>
        <v>0.0125</v>
      </c>
      <c r="AE12" s="27">
        <f t="shared" si="19"/>
        <v>0.0125</v>
      </c>
      <c r="AF12" s="27">
        <f t="shared" si="19"/>
        <v>0.0125</v>
      </c>
      <c r="AG12" s="27">
        <f t="shared" si="19"/>
        <v>0</v>
      </c>
      <c r="AH12" s="27">
        <f t="shared" si="19"/>
        <v>0.0125</v>
      </c>
      <c r="AI12" s="27">
        <f t="shared" si="19"/>
        <v>0.0125</v>
      </c>
      <c r="AJ12" s="27">
        <f t="shared" si="19"/>
        <v>0</v>
      </c>
      <c r="AK12" s="27">
        <f t="shared" si="19"/>
        <v>0.008333333333</v>
      </c>
    </row>
    <row r="13">
      <c r="A13" s="27">
        <v>12.0</v>
      </c>
      <c r="B13" s="27"/>
      <c r="C13" s="27">
        <f t="shared" si="2"/>
        <v>0</v>
      </c>
      <c r="D13" s="27">
        <v>17.0</v>
      </c>
      <c r="E13" s="27">
        <f t="shared" si="3"/>
        <v>0</v>
      </c>
      <c r="F13" s="27">
        <v>52.0</v>
      </c>
      <c r="G13" s="27">
        <f t="shared" si="4"/>
        <v>0</v>
      </c>
      <c r="H13" s="27">
        <v>26.0</v>
      </c>
      <c r="I13" s="27">
        <f t="shared" si="5"/>
        <v>0</v>
      </c>
      <c r="J13" s="27">
        <v>18.0</v>
      </c>
      <c r="K13" s="27">
        <f t="shared" si="6"/>
        <v>0</v>
      </c>
      <c r="L13" s="27">
        <v>15.0</v>
      </c>
      <c r="M13" s="27">
        <f t="shared" si="7"/>
        <v>0</v>
      </c>
      <c r="N13" s="27">
        <v>464.0</v>
      </c>
      <c r="O13" s="27">
        <f t="shared" si="8"/>
        <v>0</v>
      </c>
      <c r="P13" s="27">
        <v>52.0</v>
      </c>
      <c r="Q13" s="27">
        <f t="shared" si="9"/>
        <v>0</v>
      </c>
      <c r="S13" s="27">
        <v>17.0</v>
      </c>
      <c r="T13" s="27">
        <v>8.0</v>
      </c>
      <c r="U13" s="27">
        <v>7.0</v>
      </c>
      <c r="V13" s="27">
        <v>8.0</v>
      </c>
      <c r="W13" s="27">
        <v>1.0</v>
      </c>
      <c r="X13" s="27">
        <v>7.0</v>
      </c>
      <c r="Y13" s="27">
        <v>6.0</v>
      </c>
      <c r="Z13" s="27">
        <v>1.0</v>
      </c>
      <c r="AA13" s="27">
        <v>7.0</v>
      </c>
      <c r="AC13" s="27">
        <v>17.0</v>
      </c>
      <c r="AD13" s="27">
        <f t="shared" ref="AD13:AK13" si="20">T13/$S$1</f>
        <v>0.03333333333</v>
      </c>
      <c r="AE13" s="27">
        <f t="shared" si="20"/>
        <v>0.02916666667</v>
      </c>
      <c r="AF13" s="27">
        <f t="shared" si="20"/>
        <v>0.03333333333</v>
      </c>
      <c r="AG13" s="27">
        <f t="shared" si="20"/>
        <v>0.004166666667</v>
      </c>
      <c r="AH13" s="27">
        <f t="shared" si="20"/>
        <v>0.02916666667</v>
      </c>
      <c r="AI13" s="27">
        <f t="shared" si="20"/>
        <v>0.025</v>
      </c>
      <c r="AJ13" s="27">
        <f t="shared" si="20"/>
        <v>0.004166666667</v>
      </c>
      <c r="AK13" s="27">
        <f t="shared" si="20"/>
        <v>0.02916666667</v>
      </c>
    </row>
    <row r="14">
      <c r="A14" s="27">
        <v>13.0</v>
      </c>
      <c r="B14" s="27"/>
      <c r="C14" s="27">
        <f t="shared" si="2"/>
        <v>0</v>
      </c>
      <c r="D14" s="27">
        <v>23.0</v>
      </c>
      <c r="E14" s="27">
        <f t="shared" si="3"/>
        <v>0</v>
      </c>
      <c r="F14" s="27">
        <v>52.0</v>
      </c>
      <c r="G14" s="27">
        <f t="shared" si="4"/>
        <v>0</v>
      </c>
      <c r="H14" s="27">
        <v>25.0</v>
      </c>
      <c r="I14" s="27">
        <f t="shared" si="5"/>
        <v>0</v>
      </c>
      <c r="J14" s="27">
        <v>17.0</v>
      </c>
      <c r="K14" s="27">
        <f t="shared" si="6"/>
        <v>0</v>
      </c>
      <c r="L14" s="27">
        <v>17.0</v>
      </c>
      <c r="M14" s="27">
        <f t="shared" si="7"/>
        <v>0</v>
      </c>
      <c r="N14" s="27">
        <v>452.0</v>
      </c>
      <c r="O14" s="27">
        <f t="shared" si="8"/>
        <v>0</v>
      </c>
      <c r="P14" s="27">
        <v>52.0</v>
      </c>
      <c r="Q14" s="27">
        <f t="shared" si="9"/>
        <v>0</v>
      </c>
      <c r="S14" s="27">
        <v>18.0</v>
      </c>
      <c r="T14" s="27">
        <v>1.0</v>
      </c>
      <c r="U14" s="27">
        <v>1.0</v>
      </c>
      <c r="V14" s="27">
        <v>1.0</v>
      </c>
      <c r="W14" s="27">
        <v>0.0</v>
      </c>
      <c r="X14" s="27">
        <v>1.0</v>
      </c>
      <c r="Y14" s="27">
        <v>1.0</v>
      </c>
      <c r="Z14" s="27">
        <v>1.0</v>
      </c>
      <c r="AA14" s="27">
        <v>1.0</v>
      </c>
      <c r="AC14" s="27">
        <v>18.0</v>
      </c>
      <c r="AD14" s="27">
        <f t="shared" ref="AD14:AK14" si="21">T14/$S$1</f>
        <v>0.004166666667</v>
      </c>
      <c r="AE14" s="27">
        <f t="shared" si="21"/>
        <v>0.004166666667</v>
      </c>
      <c r="AF14" s="27">
        <f t="shared" si="21"/>
        <v>0.004166666667</v>
      </c>
      <c r="AG14" s="27">
        <f t="shared" si="21"/>
        <v>0</v>
      </c>
      <c r="AH14" s="27">
        <f t="shared" si="21"/>
        <v>0.004166666667</v>
      </c>
      <c r="AI14" s="27">
        <f t="shared" si="21"/>
        <v>0.004166666667</v>
      </c>
      <c r="AJ14" s="27">
        <f t="shared" si="21"/>
        <v>0.004166666667</v>
      </c>
      <c r="AK14" s="27">
        <f t="shared" si="21"/>
        <v>0.004166666667</v>
      </c>
    </row>
    <row r="15">
      <c r="A15" s="27">
        <v>2.0</v>
      </c>
      <c r="B15" s="27"/>
      <c r="C15" s="27">
        <f t="shared" si="2"/>
        <v>0</v>
      </c>
      <c r="D15" s="27">
        <v>25.0</v>
      </c>
      <c r="E15" s="27">
        <f t="shared" si="3"/>
        <v>0</v>
      </c>
      <c r="F15" s="27">
        <v>25.0</v>
      </c>
      <c r="G15" s="27">
        <f t="shared" si="4"/>
        <v>0</v>
      </c>
      <c r="H15" s="27">
        <v>28.0</v>
      </c>
      <c r="I15" s="27">
        <f t="shared" si="5"/>
        <v>0</v>
      </c>
      <c r="J15" s="27">
        <v>24.0</v>
      </c>
      <c r="K15" s="27">
        <f t="shared" si="6"/>
        <v>0</v>
      </c>
      <c r="L15" s="27">
        <v>18.0</v>
      </c>
      <c r="M15" s="27">
        <f t="shared" si="7"/>
        <v>0</v>
      </c>
      <c r="O15" s="27">
        <f t="shared" si="8"/>
        <v>0</v>
      </c>
      <c r="P15" s="27">
        <v>25.0</v>
      </c>
      <c r="Q15" s="27">
        <f t="shared" si="9"/>
        <v>0</v>
      </c>
      <c r="S15" s="27">
        <v>19.0</v>
      </c>
      <c r="T15" s="27">
        <v>6.0</v>
      </c>
      <c r="U15" s="27">
        <v>0.0</v>
      </c>
      <c r="V15" s="27">
        <v>0.0</v>
      </c>
      <c r="W15" s="27">
        <v>0.0</v>
      </c>
      <c r="X15" s="27">
        <v>5.0</v>
      </c>
      <c r="Y15" s="27">
        <v>6.0</v>
      </c>
      <c r="Z15" s="27">
        <v>0.0</v>
      </c>
      <c r="AA15" s="27">
        <v>0.0</v>
      </c>
      <c r="AC15" s="27">
        <v>19.0</v>
      </c>
      <c r="AD15" s="27">
        <f t="shared" ref="AD15:AK15" si="22">T15/$S$1</f>
        <v>0.025</v>
      </c>
      <c r="AE15" s="27">
        <f t="shared" si="22"/>
        <v>0</v>
      </c>
      <c r="AF15" s="27">
        <f t="shared" si="22"/>
        <v>0</v>
      </c>
      <c r="AG15" s="27">
        <f t="shared" si="22"/>
        <v>0</v>
      </c>
      <c r="AH15" s="27">
        <f t="shared" si="22"/>
        <v>0.02083333333</v>
      </c>
      <c r="AI15" s="27">
        <f t="shared" si="22"/>
        <v>0.025</v>
      </c>
      <c r="AJ15" s="27">
        <f t="shared" si="22"/>
        <v>0</v>
      </c>
      <c r="AK15" s="27">
        <f t="shared" si="22"/>
        <v>0</v>
      </c>
    </row>
    <row r="16">
      <c r="A16" s="27">
        <v>15.0</v>
      </c>
      <c r="B16" s="27"/>
      <c r="C16" s="27">
        <f t="shared" si="2"/>
        <v>0</v>
      </c>
      <c r="D16" s="27">
        <v>28.0</v>
      </c>
      <c r="E16" s="27">
        <f t="shared" si="3"/>
        <v>0</v>
      </c>
      <c r="F16" s="27">
        <v>25.0</v>
      </c>
      <c r="G16" s="27">
        <f t="shared" si="4"/>
        <v>0</v>
      </c>
      <c r="H16" s="27">
        <v>2.0</v>
      </c>
      <c r="I16" s="27">
        <f t="shared" si="5"/>
        <v>0</v>
      </c>
      <c r="J16" s="27">
        <v>25.0</v>
      </c>
      <c r="K16" s="27">
        <f t="shared" si="6"/>
        <v>0</v>
      </c>
      <c r="L16" s="27">
        <v>19.0</v>
      </c>
      <c r="M16" s="27">
        <f t="shared" si="7"/>
        <v>0</v>
      </c>
      <c r="O16" s="27">
        <f t="shared" si="8"/>
        <v>0</v>
      </c>
      <c r="P16" s="27">
        <v>28.0</v>
      </c>
      <c r="Q16" s="27">
        <f t="shared" si="9"/>
        <v>0</v>
      </c>
      <c r="S16" s="27">
        <v>21.0</v>
      </c>
      <c r="T16" s="27">
        <v>1.0</v>
      </c>
      <c r="U16" s="27">
        <v>0.0</v>
      </c>
      <c r="V16" s="27">
        <v>0.0</v>
      </c>
      <c r="W16" s="27">
        <v>0.0</v>
      </c>
      <c r="X16" s="27">
        <v>0.0</v>
      </c>
      <c r="Y16" s="27">
        <v>0.0</v>
      </c>
      <c r="Z16" s="27">
        <v>0.0</v>
      </c>
      <c r="AA16" s="27">
        <v>0.0</v>
      </c>
      <c r="AC16" s="27">
        <v>21.0</v>
      </c>
      <c r="AD16" s="27">
        <f t="shared" ref="AD16:AK16" si="23">T16/$S$1</f>
        <v>0.004166666667</v>
      </c>
      <c r="AE16" s="27">
        <f t="shared" si="23"/>
        <v>0</v>
      </c>
      <c r="AF16" s="27">
        <f t="shared" si="23"/>
        <v>0</v>
      </c>
      <c r="AG16" s="27">
        <f t="shared" si="23"/>
        <v>0</v>
      </c>
      <c r="AH16" s="27">
        <f t="shared" si="23"/>
        <v>0</v>
      </c>
      <c r="AI16" s="27">
        <f t="shared" si="23"/>
        <v>0</v>
      </c>
      <c r="AJ16" s="27">
        <f t="shared" si="23"/>
        <v>0</v>
      </c>
      <c r="AK16" s="27">
        <f t="shared" si="23"/>
        <v>0</v>
      </c>
    </row>
    <row r="17">
      <c r="A17" s="27">
        <v>15.0</v>
      </c>
      <c r="B17" s="27"/>
      <c r="C17" s="27">
        <f t="shared" si="2"/>
        <v>0</v>
      </c>
      <c r="D17" s="27">
        <v>2.0</v>
      </c>
      <c r="E17" s="27">
        <f t="shared" si="3"/>
        <v>0</v>
      </c>
      <c r="F17" s="27">
        <v>76.0</v>
      </c>
      <c r="G17" s="27">
        <f t="shared" si="4"/>
        <v>0</v>
      </c>
      <c r="H17" s="27">
        <v>2.0</v>
      </c>
      <c r="I17" s="27">
        <f t="shared" si="5"/>
        <v>0</v>
      </c>
      <c r="J17" s="27">
        <v>26.0</v>
      </c>
      <c r="K17" s="27">
        <f t="shared" si="6"/>
        <v>0</v>
      </c>
      <c r="L17" s="27">
        <v>17.0</v>
      </c>
      <c r="M17" s="27">
        <f t="shared" si="7"/>
        <v>0</v>
      </c>
      <c r="O17" s="27">
        <f t="shared" si="8"/>
        <v>0</v>
      </c>
      <c r="P17" s="27">
        <v>25.0</v>
      </c>
      <c r="Q17" s="27">
        <f t="shared" si="9"/>
        <v>0</v>
      </c>
      <c r="S17" s="27">
        <v>22.0</v>
      </c>
      <c r="T17" s="27">
        <v>1.0</v>
      </c>
      <c r="U17" s="27">
        <v>0.0</v>
      </c>
      <c r="V17" s="27">
        <v>0.0</v>
      </c>
      <c r="W17" s="27">
        <v>0.0</v>
      </c>
      <c r="X17" s="27">
        <v>1.0</v>
      </c>
      <c r="Y17" s="27">
        <v>0.0</v>
      </c>
      <c r="Z17" s="27">
        <v>0.0</v>
      </c>
      <c r="AA17" s="27">
        <v>0.0</v>
      </c>
      <c r="AC17" s="27">
        <v>22.0</v>
      </c>
      <c r="AD17" s="27">
        <f t="shared" ref="AD17:AK17" si="24">T17/$S$1</f>
        <v>0.004166666667</v>
      </c>
      <c r="AE17" s="27">
        <f t="shared" si="24"/>
        <v>0</v>
      </c>
      <c r="AF17" s="27">
        <f t="shared" si="24"/>
        <v>0</v>
      </c>
      <c r="AG17" s="27">
        <f t="shared" si="24"/>
        <v>0</v>
      </c>
      <c r="AH17" s="27">
        <f t="shared" si="24"/>
        <v>0.004166666667</v>
      </c>
      <c r="AI17" s="27">
        <f t="shared" si="24"/>
        <v>0</v>
      </c>
      <c r="AJ17" s="27">
        <f t="shared" si="24"/>
        <v>0</v>
      </c>
      <c r="AK17" s="27">
        <f t="shared" si="24"/>
        <v>0</v>
      </c>
    </row>
    <row r="18">
      <c r="A18" s="27">
        <v>17.0</v>
      </c>
      <c r="B18" s="27"/>
      <c r="C18" s="27">
        <f t="shared" si="2"/>
        <v>0</v>
      </c>
      <c r="D18" s="27">
        <v>2.0</v>
      </c>
      <c r="E18" s="27">
        <f t="shared" si="3"/>
        <v>0</v>
      </c>
      <c r="F18" s="27">
        <v>83.0</v>
      </c>
      <c r="G18" s="27">
        <f t="shared" si="4"/>
        <v>0</v>
      </c>
      <c r="H18" s="27">
        <v>15.0</v>
      </c>
      <c r="I18" s="27">
        <f t="shared" si="5"/>
        <v>0</v>
      </c>
      <c r="J18" s="27">
        <v>25.0</v>
      </c>
      <c r="K18" s="27">
        <f t="shared" si="6"/>
        <v>0</v>
      </c>
      <c r="L18" s="27">
        <v>22.0</v>
      </c>
      <c r="M18" s="27">
        <f t="shared" si="7"/>
        <v>0</v>
      </c>
      <c r="O18" s="27">
        <f t="shared" si="8"/>
        <v>0</v>
      </c>
      <c r="P18" s="27">
        <v>74.0</v>
      </c>
      <c r="Q18" s="27">
        <f t="shared" si="9"/>
        <v>0</v>
      </c>
      <c r="S18" s="27">
        <v>23.0</v>
      </c>
      <c r="T18" s="27">
        <v>5.0</v>
      </c>
      <c r="U18" s="27">
        <v>0.0</v>
      </c>
      <c r="V18" s="27">
        <v>0.0</v>
      </c>
      <c r="W18" s="27">
        <v>0.0</v>
      </c>
      <c r="X18" s="27">
        <v>5.0</v>
      </c>
      <c r="Y18" s="27">
        <v>4.0</v>
      </c>
      <c r="Z18" s="27">
        <v>0.0</v>
      </c>
      <c r="AA18" s="27">
        <v>1.0</v>
      </c>
      <c r="AC18" s="27">
        <v>23.0</v>
      </c>
      <c r="AD18" s="27">
        <f t="shared" ref="AD18:AK18" si="25">T18/$S$1</f>
        <v>0.02083333333</v>
      </c>
      <c r="AE18" s="27">
        <f t="shared" si="25"/>
        <v>0</v>
      </c>
      <c r="AF18" s="27">
        <f t="shared" si="25"/>
        <v>0</v>
      </c>
      <c r="AG18" s="27">
        <f t="shared" si="25"/>
        <v>0</v>
      </c>
      <c r="AH18" s="27">
        <f t="shared" si="25"/>
        <v>0.02083333333</v>
      </c>
      <c r="AI18" s="27">
        <f t="shared" si="25"/>
        <v>0.01666666667</v>
      </c>
      <c r="AJ18" s="27">
        <f t="shared" si="25"/>
        <v>0</v>
      </c>
      <c r="AK18" s="27">
        <f t="shared" si="25"/>
        <v>0.004166666667</v>
      </c>
    </row>
    <row r="19">
      <c r="A19" s="27">
        <v>18.0</v>
      </c>
      <c r="B19" s="27"/>
      <c r="C19" s="27">
        <f t="shared" si="2"/>
        <v>0</v>
      </c>
      <c r="D19" s="27">
        <v>15.0</v>
      </c>
      <c r="E19" s="27">
        <f t="shared" si="3"/>
        <v>0</v>
      </c>
      <c r="F19" s="27">
        <v>28.0</v>
      </c>
      <c r="G19" s="27">
        <f t="shared" si="4"/>
        <v>0</v>
      </c>
      <c r="H19" s="27">
        <v>33.0</v>
      </c>
      <c r="I19" s="27">
        <f t="shared" si="5"/>
        <v>0</v>
      </c>
      <c r="J19" s="27">
        <v>28.0</v>
      </c>
      <c r="K19" s="27">
        <f t="shared" si="6"/>
        <v>0</v>
      </c>
      <c r="L19" s="27">
        <v>23.0</v>
      </c>
      <c r="M19" s="27">
        <f t="shared" si="7"/>
        <v>0</v>
      </c>
      <c r="O19" s="27">
        <f t="shared" si="8"/>
        <v>0</v>
      </c>
      <c r="P19" s="27">
        <v>120.0</v>
      </c>
      <c r="Q19" s="27">
        <f t="shared" si="9"/>
        <v>0</v>
      </c>
      <c r="S19" s="27">
        <v>24.0</v>
      </c>
      <c r="T19" s="27">
        <v>12.0</v>
      </c>
      <c r="U19" s="27">
        <v>12.0</v>
      </c>
      <c r="V19" s="27">
        <v>12.0</v>
      </c>
      <c r="W19" s="27">
        <v>1.0</v>
      </c>
      <c r="X19" s="27">
        <v>0.0</v>
      </c>
      <c r="Y19" s="27">
        <v>0.0</v>
      </c>
      <c r="Z19" s="27">
        <v>0.0</v>
      </c>
      <c r="AA19" s="27">
        <v>0.0</v>
      </c>
      <c r="AC19" s="27">
        <v>24.0</v>
      </c>
      <c r="AD19" s="27">
        <f t="shared" ref="AD19:AK19" si="26">T19/$S$1</f>
        <v>0.05</v>
      </c>
      <c r="AE19" s="27">
        <f t="shared" si="26"/>
        <v>0.05</v>
      </c>
      <c r="AF19" s="27">
        <f t="shared" si="26"/>
        <v>0.05</v>
      </c>
      <c r="AG19" s="27">
        <f t="shared" si="26"/>
        <v>0.004166666667</v>
      </c>
      <c r="AH19" s="27">
        <f t="shared" si="26"/>
        <v>0</v>
      </c>
      <c r="AI19" s="27">
        <f t="shared" si="26"/>
        <v>0</v>
      </c>
      <c r="AJ19" s="27">
        <f t="shared" si="26"/>
        <v>0</v>
      </c>
      <c r="AK19" s="27">
        <f t="shared" si="26"/>
        <v>0</v>
      </c>
    </row>
    <row r="20">
      <c r="A20" s="27">
        <v>19.0</v>
      </c>
      <c r="B20" s="27"/>
      <c r="C20" s="27">
        <f t="shared" si="2"/>
        <v>0</v>
      </c>
      <c r="D20" s="27">
        <v>33.0</v>
      </c>
      <c r="E20" s="27">
        <f t="shared" si="3"/>
        <v>0</v>
      </c>
      <c r="F20" s="27">
        <v>25.0</v>
      </c>
      <c r="G20" s="27">
        <f t="shared" si="4"/>
        <v>0</v>
      </c>
      <c r="H20" s="27">
        <v>34.0</v>
      </c>
      <c r="I20" s="27">
        <f t="shared" si="5"/>
        <v>0</v>
      </c>
      <c r="J20" s="27">
        <v>2.0</v>
      </c>
      <c r="K20" s="27">
        <f t="shared" si="6"/>
        <v>0</v>
      </c>
      <c r="L20" s="27">
        <v>25.0</v>
      </c>
      <c r="M20" s="27">
        <f t="shared" si="7"/>
        <v>0</v>
      </c>
      <c r="O20" s="27">
        <f t="shared" si="8"/>
        <v>0</v>
      </c>
      <c r="P20" s="27">
        <v>120.0</v>
      </c>
      <c r="Q20" s="27">
        <f t="shared" si="9"/>
        <v>0</v>
      </c>
      <c r="S20" s="27">
        <v>25.0</v>
      </c>
      <c r="T20" s="27">
        <v>17.0</v>
      </c>
      <c r="U20" s="27">
        <v>14.0</v>
      </c>
      <c r="V20" s="27">
        <v>17.0</v>
      </c>
      <c r="W20" s="27">
        <v>0.0</v>
      </c>
      <c r="X20" s="27">
        <v>17.0</v>
      </c>
      <c r="Y20" s="27">
        <v>11.0</v>
      </c>
      <c r="Z20" s="27">
        <v>4.0</v>
      </c>
      <c r="AA20" s="27">
        <v>3.0</v>
      </c>
      <c r="AC20" s="27">
        <v>25.0</v>
      </c>
      <c r="AD20" s="27">
        <f t="shared" ref="AD20:AK20" si="27">T20/$S$1</f>
        <v>0.07083333333</v>
      </c>
      <c r="AE20" s="27">
        <f t="shared" si="27"/>
        <v>0.05833333333</v>
      </c>
      <c r="AF20" s="27">
        <f t="shared" si="27"/>
        <v>0.07083333333</v>
      </c>
      <c r="AG20" s="27">
        <f t="shared" si="27"/>
        <v>0</v>
      </c>
      <c r="AH20" s="27">
        <f t="shared" si="27"/>
        <v>0.07083333333</v>
      </c>
      <c r="AI20" s="27">
        <f t="shared" si="27"/>
        <v>0.04583333333</v>
      </c>
      <c r="AJ20" s="27">
        <f t="shared" si="27"/>
        <v>0.01666666667</v>
      </c>
      <c r="AK20" s="27">
        <f t="shared" si="27"/>
        <v>0.0125</v>
      </c>
    </row>
    <row r="21" ht="15.75" customHeight="1">
      <c r="A21" s="27">
        <v>17.0</v>
      </c>
      <c r="B21" s="27"/>
      <c r="C21" s="27">
        <f t="shared" si="2"/>
        <v>0</v>
      </c>
      <c r="D21" s="27">
        <v>34.0</v>
      </c>
      <c r="E21" s="27">
        <f t="shared" si="3"/>
        <v>0</v>
      </c>
      <c r="F21" s="27">
        <v>120.0</v>
      </c>
      <c r="G21" s="27">
        <f t="shared" si="4"/>
        <v>0</v>
      </c>
      <c r="H21" s="27">
        <v>35.0</v>
      </c>
      <c r="I21" s="27">
        <f t="shared" si="5"/>
        <v>0</v>
      </c>
      <c r="J21" s="27">
        <v>2.0</v>
      </c>
      <c r="K21" s="27">
        <f t="shared" si="6"/>
        <v>0</v>
      </c>
      <c r="L21" s="27">
        <v>25.0</v>
      </c>
      <c r="M21" s="27">
        <f t="shared" si="7"/>
        <v>0</v>
      </c>
      <c r="O21" s="27">
        <f t="shared" si="8"/>
        <v>0</v>
      </c>
      <c r="P21" s="27">
        <v>120.0</v>
      </c>
      <c r="Q21" s="27">
        <f t="shared" si="9"/>
        <v>0</v>
      </c>
      <c r="S21" s="27">
        <v>26.0</v>
      </c>
      <c r="T21" s="27">
        <v>1.0</v>
      </c>
      <c r="U21" s="27">
        <v>1.0</v>
      </c>
      <c r="V21" s="27">
        <v>1.0</v>
      </c>
      <c r="W21" s="27">
        <v>0.0</v>
      </c>
      <c r="X21" s="27">
        <v>0.0</v>
      </c>
      <c r="Y21" s="27">
        <v>0.0</v>
      </c>
      <c r="Z21" s="27">
        <v>0.0</v>
      </c>
      <c r="AA21" s="27">
        <v>0.0</v>
      </c>
      <c r="AC21" s="27">
        <v>26.0</v>
      </c>
      <c r="AD21" s="27">
        <f t="shared" ref="AD21:AK21" si="28">T21/$S$1</f>
        <v>0.004166666667</v>
      </c>
      <c r="AE21" s="27">
        <f t="shared" si="28"/>
        <v>0.004166666667</v>
      </c>
      <c r="AF21" s="27">
        <f t="shared" si="28"/>
        <v>0.004166666667</v>
      </c>
      <c r="AG21" s="27">
        <f t="shared" si="28"/>
        <v>0</v>
      </c>
      <c r="AH21" s="27">
        <f t="shared" si="28"/>
        <v>0</v>
      </c>
      <c r="AI21" s="27">
        <f t="shared" si="28"/>
        <v>0</v>
      </c>
      <c r="AJ21" s="27">
        <f t="shared" si="28"/>
        <v>0</v>
      </c>
      <c r="AK21" s="27">
        <f t="shared" si="28"/>
        <v>0</v>
      </c>
    </row>
    <row r="22" ht="15.75" customHeight="1">
      <c r="A22" s="27">
        <v>21.0</v>
      </c>
      <c r="B22" s="27"/>
      <c r="C22" s="27">
        <f t="shared" si="2"/>
        <v>0</v>
      </c>
      <c r="D22" s="27">
        <v>35.0</v>
      </c>
      <c r="E22" s="27">
        <f t="shared" si="3"/>
        <v>0</v>
      </c>
      <c r="F22" s="27">
        <v>123.0</v>
      </c>
      <c r="G22" s="27">
        <f t="shared" si="4"/>
        <v>0</v>
      </c>
      <c r="H22" s="27">
        <v>35.0</v>
      </c>
      <c r="I22" s="27">
        <f t="shared" si="5"/>
        <v>0</v>
      </c>
      <c r="J22" s="27">
        <v>15.0</v>
      </c>
      <c r="K22" s="27">
        <f t="shared" si="6"/>
        <v>0</v>
      </c>
      <c r="L22" s="27">
        <v>28.0</v>
      </c>
      <c r="M22" s="27">
        <f t="shared" si="7"/>
        <v>0</v>
      </c>
      <c r="O22" s="27">
        <f t="shared" si="8"/>
        <v>0</v>
      </c>
      <c r="P22" s="27">
        <v>123.0</v>
      </c>
      <c r="Q22" s="27">
        <f t="shared" si="9"/>
        <v>0</v>
      </c>
      <c r="S22" s="27">
        <v>28.0</v>
      </c>
      <c r="T22" s="27">
        <v>3.0</v>
      </c>
      <c r="U22" s="27">
        <v>3.0</v>
      </c>
      <c r="V22" s="27">
        <v>3.0</v>
      </c>
      <c r="W22" s="27">
        <v>0.0</v>
      </c>
      <c r="X22" s="27">
        <v>3.0</v>
      </c>
      <c r="Y22" s="27">
        <v>3.0</v>
      </c>
      <c r="Z22" s="27">
        <v>2.0</v>
      </c>
      <c r="AA22" s="27">
        <v>3.0</v>
      </c>
      <c r="AC22" s="27">
        <v>28.0</v>
      </c>
      <c r="AD22" s="27">
        <f t="shared" ref="AD22:AK22" si="29">T22/$S$1</f>
        <v>0.0125</v>
      </c>
      <c r="AE22" s="27">
        <f t="shared" si="29"/>
        <v>0.0125</v>
      </c>
      <c r="AF22" s="27">
        <f t="shared" si="29"/>
        <v>0.0125</v>
      </c>
      <c r="AG22" s="27">
        <f t="shared" si="29"/>
        <v>0</v>
      </c>
      <c r="AH22" s="27">
        <f t="shared" si="29"/>
        <v>0.0125</v>
      </c>
      <c r="AI22" s="27">
        <f t="shared" si="29"/>
        <v>0.0125</v>
      </c>
      <c r="AJ22" s="27">
        <f t="shared" si="29"/>
        <v>0.008333333333</v>
      </c>
      <c r="AK22" s="27">
        <f t="shared" si="29"/>
        <v>0.0125</v>
      </c>
    </row>
    <row r="23" ht="15.75" customHeight="1">
      <c r="A23" s="27">
        <v>22.0</v>
      </c>
      <c r="B23" s="27"/>
      <c r="C23" s="27">
        <f t="shared" si="2"/>
        <v>0</v>
      </c>
      <c r="D23" s="27">
        <v>19.0</v>
      </c>
      <c r="E23" s="27">
        <f t="shared" si="3"/>
        <v>0</v>
      </c>
      <c r="F23" s="27">
        <v>125.0</v>
      </c>
      <c r="G23" s="27">
        <f t="shared" si="4"/>
        <v>0</v>
      </c>
      <c r="H23" s="27">
        <v>40.0</v>
      </c>
      <c r="I23" s="27">
        <f t="shared" si="5"/>
        <v>0</v>
      </c>
      <c r="J23" s="27">
        <v>33.0</v>
      </c>
      <c r="K23" s="27">
        <f t="shared" si="6"/>
        <v>0</v>
      </c>
      <c r="L23" s="27">
        <v>29.0</v>
      </c>
      <c r="M23" s="27">
        <f t="shared" si="7"/>
        <v>0</v>
      </c>
      <c r="O23" s="27">
        <f t="shared" si="8"/>
        <v>0</v>
      </c>
      <c r="P23" s="27">
        <v>120.0</v>
      </c>
      <c r="Q23" s="27">
        <f t="shared" si="9"/>
        <v>0</v>
      </c>
      <c r="S23" s="27">
        <v>29.0</v>
      </c>
      <c r="T23" s="27">
        <v>1.0</v>
      </c>
      <c r="U23" s="27">
        <v>0.0</v>
      </c>
      <c r="V23" s="27">
        <v>0.0</v>
      </c>
      <c r="W23" s="27">
        <v>0.0</v>
      </c>
      <c r="X23" s="27">
        <v>1.0</v>
      </c>
      <c r="Y23" s="27">
        <v>0.0</v>
      </c>
      <c r="Z23" s="27">
        <v>0.0</v>
      </c>
      <c r="AA23" s="27">
        <v>0.0</v>
      </c>
      <c r="AC23" s="27">
        <v>29.0</v>
      </c>
      <c r="AD23" s="27">
        <f t="shared" ref="AD23:AK23" si="30">T23/$S$1</f>
        <v>0.004166666667</v>
      </c>
      <c r="AE23" s="27">
        <f t="shared" si="30"/>
        <v>0</v>
      </c>
      <c r="AF23" s="27">
        <f t="shared" si="30"/>
        <v>0</v>
      </c>
      <c r="AG23" s="27">
        <f t="shared" si="30"/>
        <v>0</v>
      </c>
      <c r="AH23" s="27">
        <f t="shared" si="30"/>
        <v>0.004166666667</v>
      </c>
      <c r="AI23" s="27">
        <f t="shared" si="30"/>
        <v>0</v>
      </c>
      <c r="AJ23" s="27">
        <f t="shared" si="30"/>
        <v>0</v>
      </c>
      <c r="AK23" s="27">
        <f t="shared" si="30"/>
        <v>0</v>
      </c>
    </row>
    <row r="24" ht="15.75" customHeight="1">
      <c r="A24" s="27">
        <v>23.0</v>
      </c>
      <c r="B24" s="27"/>
      <c r="C24" s="27">
        <f t="shared" si="2"/>
        <v>0</v>
      </c>
      <c r="D24" s="27">
        <v>35.0</v>
      </c>
      <c r="E24" s="27">
        <f t="shared" si="3"/>
        <v>0</v>
      </c>
      <c r="F24" s="27">
        <v>130.0</v>
      </c>
      <c r="G24" s="27">
        <f t="shared" si="4"/>
        <v>0</v>
      </c>
      <c r="H24" s="27">
        <v>17.0</v>
      </c>
      <c r="I24" s="27">
        <f t="shared" si="5"/>
        <v>0</v>
      </c>
      <c r="J24" s="27">
        <v>34.0</v>
      </c>
      <c r="K24" s="27">
        <f t="shared" si="6"/>
        <v>0</v>
      </c>
      <c r="L24" s="27">
        <v>2.0</v>
      </c>
      <c r="M24" s="27">
        <f t="shared" si="7"/>
        <v>0</v>
      </c>
      <c r="O24" s="27">
        <f t="shared" si="8"/>
        <v>0</v>
      </c>
      <c r="P24" s="27">
        <v>125.0</v>
      </c>
      <c r="Q24" s="27">
        <f t="shared" si="9"/>
        <v>0</v>
      </c>
      <c r="S24" s="27">
        <v>33.0</v>
      </c>
      <c r="T24" s="27">
        <v>1.0</v>
      </c>
      <c r="U24" s="27">
        <v>1.0</v>
      </c>
      <c r="V24" s="27">
        <v>1.0</v>
      </c>
      <c r="W24" s="27">
        <v>0.0</v>
      </c>
      <c r="X24" s="27">
        <v>1.0</v>
      </c>
      <c r="Y24" s="27">
        <v>1.0</v>
      </c>
      <c r="Z24" s="27">
        <v>1.0</v>
      </c>
      <c r="AA24" s="27">
        <v>0.0</v>
      </c>
      <c r="AC24" s="27">
        <v>33.0</v>
      </c>
      <c r="AD24" s="27">
        <f t="shared" ref="AD24:AK24" si="31">T24/$S$1</f>
        <v>0.004166666667</v>
      </c>
      <c r="AE24" s="27">
        <f t="shared" si="31"/>
        <v>0.004166666667</v>
      </c>
      <c r="AF24" s="27">
        <f t="shared" si="31"/>
        <v>0.004166666667</v>
      </c>
      <c r="AG24" s="27">
        <f t="shared" si="31"/>
        <v>0</v>
      </c>
      <c r="AH24" s="27">
        <f t="shared" si="31"/>
        <v>0.004166666667</v>
      </c>
      <c r="AI24" s="27">
        <f t="shared" si="31"/>
        <v>0.004166666667</v>
      </c>
      <c r="AJ24" s="27">
        <f t="shared" si="31"/>
        <v>0.004166666667</v>
      </c>
      <c r="AK24" s="27">
        <f t="shared" si="31"/>
        <v>0</v>
      </c>
    </row>
    <row r="25" ht="15.75" customHeight="1">
      <c r="A25" s="27">
        <v>24.0</v>
      </c>
      <c r="B25" s="27"/>
      <c r="C25" s="27">
        <f t="shared" si="2"/>
        <v>0</v>
      </c>
      <c r="D25" s="27">
        <v>19.0</v>
      </c>
      <c r="E25" s="27">
        <f t="shared" si="3"/>
        <v>0</v>
      </c>
      <c r="F25" s="27">
        <v>133.0</v>
      </c>
      <c r="G25" s="27">
        <f t="shared" si="4"/>
        <v>0</v>
      </c>
      <c r="H25" s="27">
        <v>45.0</v>
      </c>
      <c r="I25" s="27">
        <f t="shared" si="5"/>
        <v>0</v>
      </c>
      <c r="J25" s="27">
        <v>35.0</v>
      </c>
      <c r="K25" s="27">
        <f t="shared" si="6"/>
        <v>0</v>
      </c>
      <c r="L25" s="27">
        <v>2.0</v>
      </c>
      <c r="M25" s="27">
        <f t="shared" si="7"/>
        <v>0</v>
      </c>
      <c r="O25" s="27">
        <f t="shared" si="8"/>
        <v>0</v>
      </c>
      <c r="P25" s="27">
        <v>130.0</v>
      </c>
      <c r="Q25" s="27">
        <f t="shared" si="9"/>
        <v>0</v>
      </c>
      <c r="S25" s="27">
        <v>34.0</v>
      </c>
      <c r="T25" s="27">
        <v>1.0</v>
      </c>
      <c r="U25" s="27">
        <v>1.0</v>
      </c>
      <c r="V25" s="27">
        <v>1.0</v>
      </c>
      <c r="W25" s="27">
        <v>0.0</v>
      </c>
      <c r="X25" s="27">
        <v>1.0</v>
      </c>
      <c r="Y25" s="27">
        <v>1.0</v>
      </c>
      <c r="Z25" s="27">
        <v>0.0</v>
      </c>
      <c r="AA25" s="27">
        <v>1.0</v>
      </c>
      <c r="AC25" s="27">
        <v>34.0</v>
      </c>
      <c r="AD25" s="27">
        <f t="shared" ref="AD25:AK25" si="32">T25/$S$1</f>
        <v>0.004166666667</v>
      </c>
      <c r="AE25" s="27">
        <f t="shared" si="32"/>
        <v>0.004166666667</v>
      </c>
      <c r="AF25" s="27">
        <f t="shared" si="32"/>
        <v>0.004166666667</v>
      </c>
      <c r="AG25" s="27">
        <f t="shared" si="32"/>
        <v>0</v>
      </c>
      <c r="AH25" s="27">
        <f t="shared" si="32"/>
        <v>0.004166666667</v>
      </c>
      <c r="AI25" s="27">
        <f t="shared" si="32"/>
        <v>0.004166666667</v>
      </c>
      <c r="AJ25" s="27">
        <f t="shared" si="32"/>
        <v>0</v>
      </c>
      <c r="AK25" s="27">
        <f t="shared" si="32"/>
        <v>0.004166666667</v>
      </c>
    </row>
    <row r="26" ht="15.75" customHeight="1">
      <c r="A26" s="27">
        <v>25.0</v>
      </c>
      <c r="B26" s="27"/>
      <c r="C26" s="27">
        <f t="shared" si="2"/>
        <v>0</v>
      </c>
      <c r="D26" s="27">
        <v>40.0</v>
      </c>
      <c r="E26" s="27">
        <f t="shared" si="3"/>
        <v>0</v>
      </c>
      <c r="F26" s="27">
        <v>28.0</v>
      </c>
      <c r="G26" s="27">
        <f t="shared" si="4"/>
        <v>0</v>
      </c>
      <c r="H26" s="27">
        <v>47.0</v>
      </c>
      <c r="I26" s="27">
        <f t="shared" si="5"/>
        <v>0</v>
      </c>
      <c r="J26" s="27">
        <v>35.0</v>
      </c>
      <c r="K26" s="27">
        <f t="shared" si="6"/>
        <v>0</v>
      </c>
      <c r="L26" s="27">
        <v>15.0</v>
      </c>
      <c r="M26" s="27">
        <f t="shared" si="7"/>
        <v>0</v>
      </c>
      <c r="O26" s="27">
        <f t="shared" si="8"/>
        <v>0</v>
      </c>
      <c r="P26" s="27">
        <v>133.0</v>
      </c>
      <c r="Q26" s="27">
        <f t="shared" si="9"/>
        <v>0</v>
      </c>
      <c r="S26" s="27">
        <v>35.0</v>
      </c>
      <c r="T26" s="27">
        <v>3.0</v>
      </c>
      <c r="U26" s="27">
        <v>2.0</v>
      </c>
      <c r="V26" s="27">
        <v>3.0</v>
      </c>
      <c r="W26" s="27">
        <v>0.0</v>
      </c>
      <c r="X26" s="27">
        <v>3.0</v>
      </c>
      <c r="Y26" s="27">
        <v>2.0</v>
      </c>
      <c r="Z26" s="27">
        <v>2.0</v>
      </c>
      <c r="AA26" s="27">
        <v>0.0</v>
      </c>
      <c r="AC26" s="27">
        <v>35.0</v>
      </c>
      <c r="AD26" s="27">
        <f t="shared" ref="AD26:AK26" si="33">T26/$S$1</f>
        <v>0.0125</v>
      </c>
      <c r="AE26" s="27">
        <f t="shared" si="33"/>
        <v>0.008333333333</v>
      </c>
      <c r="AF26" s="27">
        <f t="shared" si="33"/>
        <v>0.0125</v>
      </c>
      <c r="AG26" s="27">
        <f t="shared" si="33"/>
        <v>0</v>
      </c>
      <c r="AH26" s="27">
        <f t="shared" si="33"/>
        <v>0.0125</v>
      </c>
      <c r="AI26" s="27">
        <f t="shared" si="33"/>
        <v>0.008333333333</v>
      </c>
      <c r="AJ26" s="27">
        <f t="shared" si="33"/>
        <v>0.008333333333</v>
      </c>
      <c r="AK26" s="27">
        <f t="shared" si="33"/>
        <v>0</v>
      </c>
    </row>
    <row r="27" ht="15.75" customHeight="1">
      <c r="A27" s="27">
        <v>26.0</v>
      </c>
      <c r="B27" s="27"/>
      <c r="C27" s="27">
        <f t="shared" si="2"/>
        <v>0</v>
      </c>
      <c r="D27" s="27">
        <v>17.0</v>
      </c>
      <c r="E27" s="27">
        <f t="shared" si="3"/>
        <v>0</v>
      </c>
      <c r="F27" s="27">
        <v>143.0</v>
      </c>
      <c r="G27" s="27">
        <f t="shared" si="4"/>
        <v>0</v>
      </c>
      <c r="H27" s="27">
        <v>24.0</v>
      </c>
      <c r="I27" s="27">
        <f t="shared" si="5"/>
        <v>0</v>
      </c>
      <c r="J27" s="27">
        <v>35.0</v>
      </c>
      <c r="K27" s="27">
        <f t="shared" si="6"/>
        <v>0</v>
      </c>
      <c r="L27" s="27">
        <v>33.0</v>
      </c>
      <c r="M27" s="27">
        <f t="shared" si="7"/>
        <v>0</v>
      </c>
      <c r="O27" s="27">
        <f t="shared" si="8"/>
        <v>0</v>
      </c>
      <c r="P27" s="27">
        <v>28.0</v>
      </c>
      <c r="Q27" s="27">
        <f t="shared" si="9"/>
        <v>0</v>
      </c>
      <c r="S27" s="27">
        <v>40.0</v>
      </c>
      <c r="T27" s="27">
        <v>1.0</v>
      </c>
      <c r="U27" s="27">
        <v>1.0</v>
      </c>
      <c r="V27" s="27">
        <v>1.0</v>
      </c>
      <c r="W27" s="27">
        <v>0.0</v>
      </c>
      <c r="X27" s="27">
        <v>1.0</v>
      </c>
      <c r="Y27" s="27">
        <v>1.0</v>
      </c>
      <c r="Z27" s="27">
        <v>1.0</v>
      </c>
      <c r="AA27" s="27">
        <v>0.0</v>
      </c>
      <c r="AC27" s="27">
        <v>40.0</v>
      </c>
      <c r="AD27" s="27">
        <f t="shared" ref="AD27:AK27" si="34">T27/$S$1</f>
        <v>0.004166666667</v>
      </c>
      <c r="AE27" s="27">
        <f t="shared" si="34"/>
        <v>0.004166666667</v>
      </c>
      <c r="AF27" s="27">
        <f t="shared" si="34"/>
        <v>0.004166666667</v>
      </c>
      <c r="AG27" s="27">
        <f t="shared" si="34"/>
        <v>0</v>
      </c>
      <c r="AH27" s="27">
        <f t="shared" si="34"/>
        <v>0.004166666667</v>
      </c>
      <c r="AI27" s="27">
        <f t="shared" si="34"/>
        <v>0.004166666667</v>
      </c>
      <c r="AJ27" s="27">
        <f t="shared" si="34"/>
        <v>0.004166666667</v>
      </c>
      <c r="AK27" s="27">
        <f t="shared" si="34"/>
        <v>0</v>
      </c>
    </row>
    <row r="28" ht="15.75" customHeight="1">
      <c r="A28" s="27">
        <v>25.0</v>
      </c>
      <c r="B28" s="27"/>
      <c r="C28" s="27">
        <f t="shared" si="2"/>
        <v>0</v>
      </c>
      <c r="D28" s="27">
        <v>42.0</v>
      </c>
      <c r="E28" s="27">
        <f t="shared" si="3"/>
        <v>0</v>
      </c>
      <c r="F28" s="27">
        <v>25.0</v>
      </c>
      <c r="G28" s="27">
        <f t="shared" si="4"/>
        <v>0</v>
      </c>
      <c r="H28" s="27">
        <v>50.0</v>
      </c>
      <c r="I28" s="27">
        <f t="shared" si="5"/>
        <v>0</v>
      </c>
      <c r="J28" s="27">
        <v>40.0</v>
      </c>
      <c r="K28" s="27">
        <f t="shared" si="6"/>
        <v>0</v>
      </c>
      <c r="L28" s="27">
        <v>34.0</v>
      </c>
      <c r="M28" s="27">
        <f t="shared" si="7"/>
        <v>0</v>
      </c>
      <c r="O28" s="27">
        <f t="shared" si="8"/>
        <v>0</v>
      </c>
      <c r="P28" s="27">
        <v>17.0</v>
      </c>
      <c r="Q28" s="27">
        <f t="shared" si="9"/>
        <v>0</v>
      </c>
      <c r="S28" s="27">
        <v>42.0</v>
      </c>
      <c r="T28" s="27">
        <v>2.0</v>
      </c>
      <c r="U28" s="27">
        <v>0.0</v>
      </c>
      <c r="V28" s="27">
        <v>0.0</v>
      </c>
      <c r="W28" s="27">
        <v>0.0</v>
      </c>
      <c r="X28" s="27">
        <v>2.0</v>
      </c>
      <c r="Y28" s="27">
        <v>2.0</v>
      </c>
      <c r="Z28" s="27">
        <v>0.0</v>
      </c>
      <c r="AA28" s="27">
        <v>0.0</v>
      </c>
      <c r="AC28" s="27">
        <v>42.0</v>
      </c>
      <c r="AD28" s="27">
        <f t="shared" ref="AD28:AK28" si="35">T28/$S$1</f>
        <v>0.008333333333</v>
      </c>
      <c r="AE28" s="27">
        <f t="shared" si="35"/>
        <v>0</v>
      </c>
      <c r="AF28" s="27">
        <f t="shared" si="35"/>
        <v>0</v>
      </c>
      <c r="AG28" s="27">
        <f t="shared" si="35"/>
        <v>0</v>
      </c>
      <c r="AH28" s="27">
        <f t="shared" si="35"/>
        <v>0.008333333333</v>
      </c>
      <c r="AI28" s="27">
        <f t="shared" si="35"/>
        <v>0.008333333333</v>
      </c>
      <c r="AJ28" s="27">
        <f t="shared" si="35"/>
        <v>0</v>
      </c>
      <c r="AK28" s="27">
        <f t="shared" si="35"/>
        <v>0</v>
      </c>
    </row>
    <row r="29" ht="15.75" customHeight="1">
      <c r="A29" s="27">
        <v>28.0</v>
      </c>
      <c r="B29" s="27"/>
      <c r="C29" s="27">
        <f t="shared" si="2"/>
        <v>0</v>
      </c>
      <c r="D29" s="27">
        <v>43.0</v>
      </c>
      <c r="E29" s="27">
        <f t="shared" si="3"/>
        <v>0</v>
      </c>
      <c r="F29" s="27">
        <v>180.0</v>
      </c>
      <c r="G29" s="27">
        <f t="shared" si="4"/>
        <v>0</v>
      </c>
      <c r="H29" s="27">
        <v>52.0</v>
      </c>
      <c r="I29" s="27">
        <f t="shared" si="5"/>
        <v>0</v>
      </c>
      <c r="J29" s="27">
        <v>17.0</v>
      </c>
      <c r="K29" s="27">
        <f t="shared" si="6"/>
        <v>0</v>
      </c>
      <c r="L29" s="27">
        <v>35.0</v>
      </c>
      <c r="M29" s="27">
        <f t="shared" si="7"/>
        <v>0</v>
      </c>
      <c r="O29" s="27">
        <f t="shared" si="8"/>
        <v>0</v>
      </c>
      <c r="P29" s="27">
        <v>1.0</v>
      </c>
      <c r="Q29" s="27">
        <f t="shared" si="9"/>
        <v>0</v>
      </c>
      <c r="S29" s="27">
        <v>43.0</v>
      </c>
      <c r="T29" s="27">
        <v>11.0</v>
      </c>
      <c r="U29" s="27">
        <v>4.0</v>
      </c>
      <c r="V29" s="27">
        <v>5.0</v>
      </c>
      <c r="W29" s="27">
        <v>0.0</v>
      </c>
      <c r="X29" s="27">
        <v>10.0</v>
      </c>
      <c r="Y29" s="27">
        <v>11.0</v>
      </c>
      <c r="Z29" s="27">
        <v>4.0</v>
      </c>
      <c r="AA29" s="27">
        <v>4.0</v>
      </c>
      <c r="AC29" s="27">
        <v>43.0</v>
      </c>
      <c r="AD29" s="27">
        <f t="shared" ref="AD29:AK29" si="36">T29/$S$1</f>
        <v>0.04583333333</v>
      </c>
      <c r="AE29" s="27">
        <f t="shared" si="36"/>
        <v>0.01666666667</v>
      </c>
      <c r="AF29" s="27">
        <f t="shared" si="36"/>
        <v>0.02083333333</v>
      </c>
      <c r="AG29" s="27">
        <f t="shared" si="36"/>
        <v>0</v>
      </c>
      <c r="AH29" s="27">
        <f t="shared" si="36"/>
        <v>0.04166666667</v>
      </c>
      <c r="AI29" s="27">
        <f t="shared" si="36"/>
        <v>0.04583333333</v>
      </c>
      <c r="AJ29" s="27">
        <f t="shared" si="36"/>
        <v>0.01666666667</v>
      </c>
      <c r="AK29" s="27">
        <f t="shared" si="36"/>
        <v>0.01666666667</v>
      </c>
    </row>
    <row r="30" ht="15.75" customHeight="1">
      <c r="A30" s="27">
        <v>29.0</v>
      </c>
      <c r="B30" s="27"/>
      <c r="C30" s="27">
        <f t="shared" si="2"/>
        <v>0</v>
      </c>
      <c r="D30" s="27">
        <v>43.0</v>
      </c>
      <c r="E30" s="27">
        <f t="shared" si="3"/>
        <v>0</v>
      </c>
      <c r="F30" s="27">
        <v>43.0</v>
      </c>
      <c r="G30" s="27">
        <f t="shared" si="4"/>
        <v>0</v>
      </c>
      <c r="H30" s="27">
        <v>52.0</v>
      </c>
      <c r="I30" s="27">
        <f t="shared" si="5"/>
        <v>0</v>
      </c>
      <c r="J30" s="27">
        <v>43.0</v>
      </c>
      <c r="K30" s="27">
        <f t="shared" si="6"/>
        <v>0</v>
      </c>
      <c r="L30" s="27">
        <v>35.0</v>
      </c>
      <c r="M30" s="27">
        <f t="shared" si="7"/>
        <v>0</v>
      </c>
      <c r="O30" s="27">
        <f t="shared" si="8"/>
        <v>0</v>
      </c>
      <c r="P30" s="27">
        <v>148.0</v>
      </c>
      <c r="Q30" s="27">
        <f t="shared" si="9"/>
        <v>0</v>
      </c>
      <c r="S30" s="27">
        <v>45.0</v>
      </c>
      <c r="T30" s="27">
        <v>1.0</v>
      </c>
      <c r="U30" s="27">
        <v>1.0</v>
      </c>
      <c r="V30" s="27">
        <v>1.0</v>
      </c>
      <c r="W30" s="27">
        <v>0.0</v>
      </c>
      <c r="X30" s="27">
        <v>0.0</v>
      </c>
      <c r="Y30" s="27">
        <v>0.0</v>
      </c>
      <c r="Z30" s="27">
        <v>0.0</v>
      </c>
      <c r="AA30" s="27">
        <v>0.0</v>
      </c>
      <c r="AC30" s="27">
        <v>45.0</v>
      </c>
      <c r="AD30" s="27">
        <f t="shared" ref="AD30:AK30" si="37">T30/$S$1</f>
        <v>0.004166666667</v>
      </c>
      <c r="AE30" s="27">
        <f t="shared" si="37"/>
        <v>0.004166666667</v>
      </c>
      <c r="AF30" s="27">
        <f t="shared" si="37"/>
        <v>0.004166666667</v>
      </c>
      <c r="AG30" s="27">
        <f t="shared" si="37"/>
        <v>0</v>
      </c>
      <c r="AH30" s="27">
        <f t="shared" si="37"/>
        <v>0</v>
      </c>
      <c r="AI30" s="27">
        <f t="shared" si="37"/>
        <v>0</v>
      </c>
      <c r="AJ30" s="27">
        <f t="shared" si="37"/>
        <v>0</v>
      </c>
      <c r="AK30" s="27">
        <f t="shared" si="37"/>
        <v>0</v>
      </c>
    </row>
    <row r="31" ht="15.75" customHeight="1">
      <c r="A31" s="27">
        <v>2.0</v>
      </c>
      <c r="B31" s="27"/>
      <c r="C31" s="27">
        <f t="shared" si="2"/>
        <v>0</v>
      </c>
      <c r="D31" s="27">
        <v>47.0</v>
      </c>
      <c r="E31" s="27">
        <f t="shared" si="3"/>
        <v>0</v>
      </c>
      <c r="F31" s="27">
        <v>43.0</v>
      </c>
      <c r="G31" s="27">
        <f t="shared" si="4"/>
        <v>0</v>
      </c>
      <c r="H31" s="27">
        <v>25.0</v>
      </c>
      <c r="I31" s="27">
        <f t="shared" si="5"/>
        <v>0</v>
      </c>
      <c r="J31" s="27">
        <v>45.0</v>
      </c>
      <c r="K31" s="27">
        <f t="shared" si="6"/>
        <v>0</v>
      </c>
      <c r="L31" s="27">
        <v>19.0</v>
      </c>
      <c r="M31" s="27">
        <f t="shared" si="7"/>
        <v>0</v>
      </c>
      <c r="O31" s="27">
        <f t="shared" si="8"/>
        <v>0</v>
      </c>
      <c r="P31" s="27">
        <v>150.0</v>
      </c>
      <c r="Q31" s="27">
        <f t="shared" si="9"/>
        <v>0</v>
      </c>
      <c r="S31" s="27">
        <v>47.0</v>
      </c>
      <c r="T31" s="27">
        <v>1.0</v>
      </c>
      <c r="U31" s="27">
        <v>1.0</v>
      </c>
      <c r="V31" s="27">
        <v>1.0</v>
      </c>
      <c r="W31" s="27">
        <v>0.0</v>
      </c>
      <c r="X31" s="27">
        <v>1.0</v>
      </c>
      <c r="Y31" s="27">
        <v>1.0</v>
      </c>
      <c r="Z31" s="27">
        <v>1.0</v>
      </c>
      <c r="AA31" s="27">
        <v>0.0</v>
      </c>
      <c r="AC31" s="27">
        <v>47.0</v>
      </c>
      <c r="AD31" s="27">
        <f t="shared" ref="AD31:AK31" si="38">T31/$S$1</f>
        <v>0.004166666667</v>
      </c>
      <c r="AE31" s="27">
        <f t="shared" si="38"/>
        <v>0.004166666667</v>
      </c>
      <c r="AF31" s="27">
        <f t="shared" si="38"/>
        <v>0.004166666667</v>
      </c>
      <c r="AG31" s="27">
        <f t="shared" si="38"/>
        <v>0</v>
      </c>
      <c r="AH31" s="27">
        <f t="shared" si="38"/>
        <v>0.004166666667</v>
      </c>
      <c r="AI31" s="27">
        <f t="shared" si="38"/>
        <v>0.004166666667</v>
      </c>
      <c r="AJ31" s="27">
        <f t="shared" si="38"/>
        <v>0.004166666667</v>
      </c>
      <c r="AK31" s="27">
        <f t="shared" si="38"/>
        <v>0</v>
      </c>
    </row>
    <row r="32" ht="15.75" customHeight="1">
      <c r="A32" s="27">
        <v>2.0</v>
      </c>
      <c r="B32" s="27"/>
      <c r="C32" s="27">
        <f t="shared" si="2"/>
        <v>0</v>
      </c>
      <c r="D32" s="27">
        <v>51.0</v>
      </c>
      <c r="E32" s="27">
        <f t="shared" si="3"/>
        <v>0</v>
      </c>
      <c r="F32" s="27">
        <v>43.0</v>
      </c>
      <c r="G32" s="27">
        <f t="shared" si="4"/>
        <v>0</v>
      </c>
      <c r="H32" s="27">
        <v>25.0</v>
      </c>
      <c r="I32" s="27">
        <f t="shared" si="5"/>
        <v>0</v>
      </c>
      <c r="J32" s="27">
        <v>12.0</v>
      </c>
      <c r="K32" s="27">
        <f t="shared" si="6"/>
        <v>0</v>
      </c>
      <c r="L32" s="27">
        <v>35.0</v>
      </c>
      <c r="M32" s="27">
        <f t="shared" si="7"/>
        <v>0</v>
      </c>
      <c r="O32" s="27">
        <f t="shared" si="8"/>
        <v>0</v>
      </c>
      <c r="P32" s="27">
        <v>74.0</v>
      </c>
      <c r="Q32" s="27">
        <f t="shared" si="9"/>
        <v>0</v>
      </c>
      <c r="S32" s="27">
        <v>48.0</v>
      </c>
      <c r="T32" s="27">
        <v>3.0</v>
      </c>
      <c r="U32" s="27">
        <v>0.0</v>
      </c>
      <c r="V32" s="27">
        <v>0.0</v>
      </c>
      <c r="W32" s="27">
        <v>0.0</v>
      </c>
      <c r="X32" s="27">
        <v>3.0</v>
      </c>
      <c r="Y32" s="27">
        <v>0.0</v>
      </c>
      <c r="Z32" s="27">
        <v>0.0</v>
      </c>
      <c r="AA32" s="27">
        <v>0.0</v>
      </c>
      <c r="AC32" s="27">
        <v>48.0</v>
      </c>
      <c r="AD32" s="27">
        <f t="shared" ref="AD32:AK32" si="39">T32/$S$1</f>
        <v>0.0125</v>
      </c>
      <c r="AE32" s="27">
        <f t="shared" si="39"/>
        <v>0</v>
      </c>
      <c r="AF32" s="27">
        <f t="shared" si="39"/>
        <v>0</v>
      </c>
      <c r="AG32" s="27">
        <f t="shared" si="39"/>
        <v>0</v>
      </c>
      <c r="AH32" s="27">
        <f t="shared" si="39"/>
        <v>0.0125</v>
      </c>
      <c r="AI32" s="27">
        <f t="shared" si="39"/>
        <v>0</v>
      </c>
      <c r="AJ32" s="27">
        <f t="shared" si="39"/>
        <v>0</v>
      </c>
      <c r="AK32" s="27">
        <f t="shared" si="39"/>
        <v>0</v>
      </c>
    </row>
    <row r="33" ht="15.75" customHeight="1">
      <c r="A33" s="27">
        <v>15.0</v>
      </c>
      <c r="B33" s="27"/>
      <c r="C33" s="27">
        <f t="shared" si="2"/>
        <v>0</v>
      </c>
      <c r="D33" s="27">
        <v>52.0</v>
      </c>
      <c r="E33" s="27">
        <f t="shared" si="3"/>
        <v>0</v>
      </c>
      <c r="F33" s="27">
        <v>43.0</v>
      </c>
      <c r="G33" s="27">
        <f t="shared" si="4"/>
        <v>0</v>
      </c>
      <c r="H33" s="27">
        <v>24.0</v>
      </c>
      <c r="I33" s="27">
        <f t="shared" si="5"/>
        <v>0</v>
      </c>
      <c r="J33" s="27">
        <v>47.0</v>
      </c>
      <c r="K33" s="27">
        <f t="shared" si="6"/>
        <v>0</v>
      </c>
      <c r="L33" s="27">
        <v>19.0</v>
      </c>
      <c r="M33" s="27">
        <f t="shared" si="7"/>
        <v>0</v>
      </c>
      <c r="O33" s="27">
        <f t="shared" si="8"/>
        <v>0</v>
      </c>
      <c r="P33" s="27">
        <v>17.0</v>
      </c>
      <c r="Q33" s="27">
        <f t="shared" si="9"/>
        <v>0</v>
      </c>
      <c r="S33" s="27">
        <v>50.0</v>
      </c>
      <c r="T33" s="27">
        <v>6.0</v>
      </c>
      <c r="U33" s="27">
        <v>6.0</v>
      </c>
      <c r="V33" s="27">
        <v>6.0</v>
      </c>
      <c r="W33" s="27">
        <v>0.0</v>
      </c>
      <c r="X33" s="27">
        <v>0.0</v>
      </c>
      <c r="Y33" s="27">
        <v>0.0</v>
      </c>
      <c r="Z33" s="27">
        <v>0.0</v>
      </c>
      <c r="AA33" s="27">
        <v>0.0</v>
      </c>
      <c r="AC33" s="27">
        <v>50.0</v>
      </c>
      <c r="AD33" s="27">
        <f t="shared" ref="AD33:AK33" si="40">T33/$S$1</f>
        <v>0.025</v>
      </c>
      <c r="AE33" s="27">
        <f t="shared" si="40"/>
        <v>0.025</v>
      </c>
      <c r="AF33" s="27">
        <f t="shared" si="40"/>
        <v>0.025</v>
      </c>
      <c r="AG33" s="27">
        <f t="shared" si="40"/>
        <v>0</v>
      </c>
      <c r="AH33" s="27">
        <f t="shared" si="40"/>
        <v>0</v>
      </c>
      <c r="AI33" s="27">
        <f t="shared" si="40"/>
        <v>0</v>
      </c>
      <c r="AJ33" s="27">
        <f t="shared" si="40"/>
        <v>0</v>
      </c>
      <c r="AK33" s="27">
        <f t="shared" si="40"/>
        <v>0</v>
      </c>
    </row>
    <row r="34" ht="15.75" customHeight="1">
      <c r="A34" s="27">
        <v>33.0</v>
      </c>
      <c r="B34" s="27"/>
      <c r="C34" s="27">
        <f t="shared" si="2"/>
        <v>0</v>
      </c>
      <c r="D34" s="27">
        <v>52.0</v>
      </c>
      <c r="E34" s="27">
        <f t="shared" si="3"/>
        <v>0</v>
      </c>
      <c r="F34" s="27">
        <v>132.0</v>
      </c>
      <c r="G34" s="27">
        <f t="shared" si="4"/>
        <v>0</v>
      </c>
      <c r="H34" s="27">
        <v>68.0</v>
      </c>
      <c r="I34" s="27">
        <f t="shared" si="5"/>
        <v>0</v>
      </c>
      <c r="J34" s="27">
        <v>24.0</v>
      </c>
      <c r="K34" s="27">
        <f t="shared" si="6"/>
        <v>0</v>
      </c>
      <c r="L34" s="27">
        <v>40.0</v>
      </c>
      <c r="M34" s="27">
        <f t="shared" si="7"/>
        <v>0</v>
      </c>
      <c r="O34" s="27">
        <f t="shared" si="8"/>
        <v>0</v>
      </c>
      <c r="P34" s="27">
        <v>52.0</v>
      </c>
      <c r="Q34" s="27">
        <f t="shared" si="9"/>
        <v>0</v>
      </c>
      <c r="S34" s="27">
        <v>51.0</v>
      </c>
      <c r="T34" s="27">
        <v>2.0</v>
      </c>
      <c r="U34" s="27">
        <v>0.0</v>
      </c>
      <c r="V34" s="27">
        <v>0.0</v>
      </c>
      <c r="W34" s="27">
        <v>0.0</v>
      </c>
      <c r="X34" s="27">
        <v>2.0</v>
      </c>
      <c r="Y34" s="27">
        <v>2.0</v>
      </c>
      <c r="Z34" s="27">
        <v>0.0</v>
      </c>
      <c r="AA34" s="27">
        <v>0.0</v>
      </c>
      <c r="AC34" s="27">
        <v>51.0</v>
      </c>
      <c r="AD34" s="27">
        <f t="shared" ref="AD34:AK34" si="41">T34/$S$1</f>
        <v>0.008333333333</v>
      </c>
      <c r="AE34" s="27">
        <f t="shared" si="41"/>
        <v>0</v>
      </c>
      <c r="AF34" s="27">
        <f t="shared" si="41"/>
        <v>0</v>
      </c>
      <c r="AG34" s="27">
        <f t="shared" si="41"/>
        <v>0</v>
      </c>
      <c r="AH34" s="27">
        <f t="shared" si="41"/>
        <v>0.008333333333</v>
      </c>
      <c r="AI34" s="27">
        <f t="shared" si="41"/>
        <v>0.008333333333</v>
      </c>
      <c r="AJ34" s="27">
        <f t="shared" si="41"/>
        <v>0</v>
      </c>
      <c r="AK34" s="27">
        <f t="shared" si="41"/>
        <v>0</v>
      </c>
    </row>
    <row r="35" ht="15.75" customHeight="1">
      <c r="A35" s="27">
        <v>34.0</v>
      </c>
      <c r="B35" s="27"/>
      <c r="C35" s="27">
        <f t="shared" si="2"/>
        <v>0</v>
      </c>
      <c r="D35" s="27">
        <v>57.0</v>
      </c>
      <c r="E35" s="27">
        <f t="shared" si="3"/>
        <v>0</v>
      </c>
      <c r="F35" s="27">
        <v>269.0</v>
      </c>
      <c r="G35" s="27">
        <f t="shared" si="4"/>
        <v>0</v>
      </c>
      <c r="H35" s="27">
        <v>76.0</v>
      </c>
      <c r="I35" s="27">
        <f t="shared" si="5"/>
        <v>0</v>
      </c>
      <c r="J35" s="27">
        <v>50.0</v>
      </c>
      <c r="K35" s="27">
        <f t="shared" si="6"/>
        <v>0</v>
      </c>
      <c r="L35" s="27">
        <v>17.0</v>
      </c>
      <c r="M35" s="27">
        <f t="shared" si="7"/>
        <v>0</v>
      </c>
      <c r="O35" s="27">
        <f t="shared" si="8"/>
        <v>0</v>
      </c>
      <c r="P35" s="27">
        <v>180.0</v>
      </c>
      <c r="Q35" s="27">
        <f t="shared" si="9"/>
        <v>0</v>
      </c>
      <c r="S35" s="27">
        <v>52.0</v>
      </c>
      <c r="T35" s="27">
        <v>6.0</v>
      </c>
      <c r="U35" s="27">
        <v>6.0</v>
      </c>
      <c r="V35" s="27">
        <v>6.0</v>
      </c>
      <c r="W35" s="27">
        <v>0.0</v>
      </c>
      <c r="X35" s="27">
        <v>6.0</v>
      </c>
      <c r="Y35" s="27">
        <v>6.0</v>
      </c>
      <c r="Z35" s="27">
        <v>2.0</v>
      </c>
      <c r="AA35" s="27">
        <v>4.0</v>
      </c>
      <c r="AC35" s="27">
        <v>52.0</v>
      </c>
      <c r="AD35" s="27">
        <f t="shared" ref="AD35:AK35" si="42">T35/$S$1</f>
        <v>0.025</v>
      </c>
      <c r="AE35" s="27">
        <f t="shared" si="42"/>
        <v>0.025</v>
      </c>
      <c r="AF35" s="27">
        <f t="shared" si="42"/>
        <v>0.025</v>
      </c>
      <c r="AG35" s="27">
        <f t="shared" si="42"/>
        <v>0</v>
      </c>
      <c r="AH35" s="27">
        <f t="shared" si="42"/>
        <v>0.025</v>
      </c>
      <c r="AI35" s="27">
        <f t="shared" si="42"/>
        <v>0.025</v>
      </c>
      <c r="AJ35" s="27">
        <f t="shared" si="42"/>
        <v>0.008333333333</v>
      </c>
      <c r="AK35" s="27">
        <f t="shared" si="42"/>
        <v>0.01666666667</v>
      </c>
    </row>
    <row r="36" ht="15.75" customHeight="1">
      <c r="A36" s="27">
        <v>35.0</v>
      </c>
      <c r="B36" s="27"/>
      <c r="C36" s="27">
        <f t="shared" si="2"/>
        <v>0</v>
      </c>
      <c r="D36" s="27">
        <v>58.0</v>
      </c>
      <c r="E36" s="27">
        <f t="shared" si="3"/>
        <v>0</v>
      </c>
      <c r="F36" s="27">
        <v>424.0</v>
      </c>
      <c r="G36" s="27">
        <f t="shared" si="4"/>
        <v>0</v>
      </c>
      <c r="H36" s="27">
        <v>83.0</v>
      </c>
      <c r="I36" s="27">
        <f t="shared" si="5"/>
        <v>0</v>
      </c>
      <c r="J36" s="27">
        <v>52.0</v>
      </c>
      <c r="K36" s="27">
        <f t="shared" si="6"/>
        <v>0</v>
      </c>
      <c r="L36" s="27">
        <v>42.0</v>
      </c>
      <c r="M36" s="27">
        <f t="shared" si="7"/>
        <v>0</v>
      </c>
      <c r="O36" s="27">
        <f t="shared" si="8"/>
        <v>0</v>
      </c>
      <c r="P36" s="27">
        <v>43.0</v>
      </c>
      <c r="Q36" s="27">
        <f t="shared" si="9"/>
        <v>0</v>
      </c>
      <c r="S36" s="27">
        <v>53.0</v>
      </c>
      <c r="T36" s="27">
        <v>2.0</v>
      </c>
      <c r="U36" s="27">
        <v>1.0</v>
      </c>
      <c r="V36" s="27">
        <v>2.0</v>
      </c>
      <c r="W36" s="27">
        <v>0.0</v>
      </c>
      <c r="X36" s="27">
        <v>0.0</v>
      </c>
      <c r="Y36" s="27">
        <v>0.0</v>
      </c>
      <c r="Z36" s="27">
        <v>0.0</v>
      </c>
      <c r="AA36" s="27">
        <v>0.0</v>
      </c>
      <c r="AC36" s="27">
        <v>53.0</v>
      </c>
      <c r="AD36" s="27">
        <f t="shared" ref="AD36:AK36" si="43">T36/$S$1</f>
        <v>0.008333333333</v>
      </c>
      <c r="AE36" s="27">
        <f t="shared" si="43"/>
        <v>0.004166666667</v>
      </c>
      <c r="AF36" s="27">
        <f t="shared" si="43"/>
        <v>0.008333333333</v>
      </c>
      <c r="AG36" s="27">
        <f t="shared" si="43"/>
        <v>0</v>
      </c>
      <c r="AH36" s="27">
        <f t="shared" si="43"/>
        <v>0</v>
      </c>
      <c r="AI36" s="27">
        <f t="shared" si="43"/>
        <v>0</v>
      </c>
      <c r="AJ36" s="27">
        <f t="shared" si="43"/>
        <v>0</v>
      </c>
      <c r="AK36" s="27">
        <f t="shared" si="43"/>
        <v>0</v>
      </c>
    </row>
    <row r="37" ht="15.75" customHeight="1">
      <c r="A37" s="27">
        <v>35.0</v>
      </c>
      <c r="B37" s="27"/>
      <c r="C37" s="27">
        <f t="shared" si="2"/>
        <v>0</v>
      </c>
      <c r="D37" s="27">
        <v>59.0</v>
      </c>
      <c r="E37" s="27">
        <f t="shared" si="3"/>
        <v>0</v>
      </c>
      <c r="F37" s="27">
        <v>307.0</v>
      </c>
      <c r="G37" s="27">
        <f t="shared" si="4"/>
        <v>0</v>
      </c>
      <c r="H37" s="27">
        <v>85.0</v>
      </c>
      <c r="I37" s="27">
        <f t="shared" si="5"/>
        <v>0</v>
      </c>
      <c r="J37" s="27">
        <v>53.0</v>
      </c>
      <c r="K37" s="27">
        <f t="shared" si="6"/>
        <v>0</v>
      </c>
      <c r="L37" s="27">
        <v>43.0</v>
      </c>
      <c r="M37" s="27">
        <f t="shared" si="7"/>
        <v>0</v>
      </c>
      <c r="O37" s="27">
        <f t="shared" si="8"/>
        <v>0</v>
      </c>
      <c r="P37" s="27">
        <v>43.0</v>
      </c>
      <c r="Q37" s="27">
        <f t="shared" si="9"/>
        <v>0</v>
      </c>
      <c r="S37" s="27">
        <v>54.0</v>
      </c>
      <c r="T37" s="27">
        <v>1.0</v>
      </c>
      <c r="U37" s="27">
        <v>0.0</v>
      </c>
      <c r="V37" s="27">
        <v>0.0</v>
      </c>
      <c r="W37" s="27">
        <v>0.0</v>
      </c>
      <c r="X37" s="27">
        <v>1.0</v>
      </c>
      <c r="Y37" s="27">
        <v>0.0</v>
      </c>
      <c r="Z37" s="27">
        <v>0.0</v>
      </c>
      <c r="AA37" s="27">
        <v>0.0</v>
      </c>
      <c r="AC37" s="27">
        <v>54.0</v>
      </c>
      <c r="AD37" s="27">
        <f t="shared" ref="AD37:AK37" si="44">T37/$S$1</f>
        <v>0.004166666667</v>
      </c>
      <c r="AE37" s="27">
        <f t="shared" si="44"/>
        <v>0</v>
      </c>
      <c r="AF37" s="27">
        <f t="shared" si="44"/>
        <v>0</v>
      </c>
      <c r="AG37" s="27">
        <f t="shared" si="44"/>
        <v>0</v>
      </c>
      <c r="AH37" s="27">
        <f t="shared" si="44"/>
        <v>0.004166666667</v>
      </c>
      <c r="AI37" s="27">
        <f t="shared" si="44"/>
        <v>0</v>
      </c>
      <c r="AJ37" s="27">
        <f t="shared" si="44"/>
        <v>0</v>
      </c>
      <c r="AK37" s="27">
        <f t="shared" si="44"/>
        <v>0</v>
      </c>
    </row>
    <row r="38" ht="15.75" customHeight="1">
      <c r="A38" s="27">
        <v>19.0</v>
      </c>
      <c r="B38" s="27"/>
      <c r="C38" s="27">
        <f t="shared" si="2"/>
        <v>0</v>
      </c>
      <c r="D38" s="27">
        <v>25.0</v>
      </c>
      <c r="E38" s="27">
        <f t="shared" si="3"/>
        <v>0</v>
      </c>
      <c r="G38" s="27">
        <f t="shared" si="4"/>
        <v>0</v>
      </c>
      <c r="H38" s="27">
        <v>50.0</v>
      </c>
      <c r="I38" s="27">
        <f t="shared" si="5"/>
        <v>0</v>
      </c>
      <c r="J38" s="27">
        <v>52.0</v>
      </c>
      <c r="K38" s="27">
        <f t="shared" si="6"/>
        <v>0</v>
      </c>
      <c r="L38" s="27">
        <v>12.0</v>
      </c>
      <c r="M38" s="27">
        <f t="shared" si="7"/>
        <v>0</v>
      </c>
      <c r="O38" s="27">
        <f t="shared" si="8"/>
        <v>0</v>
      </c>
      <c r="P38" s="27">
        <v>43.0</v>
      </c>
      <c r="Q38" s="27">
        <f t="shared" si="9"/>
        <v>0</v>
      </c>
      <c r="S38" s="27">
        <v>56.0</v>
      </c>
      <c r="T38" s="27">
        <v>1.0</v>
      </c>
      <c r="U38" s="27">
        <v>0.0</v>
      </c>
      <c r="V38" s="27">
        <v>1.0</v>
      </c>
      <c r="W38" s="27">
        <v>0.0</v>
      </c>
      <c r="X38" s="27">
        <v>0.0</v>
      </c>
      <c r="Y38" s="27">
        <v>0.0</v>
      </c>
      <c r="Z38" s="27">
        <v>0.0</v>
      </c>
      <c r="AA38" s="27">
        <v>0.0</v>
      </c>
      <c r="AC38" s="27">
        <v>56.0</v>
      </c>
      <c r="AD38" s="27">
        <f t="shared" ref="AD38:AK38" si="45">T38/$S$1</f>
        <v>0.004166666667</v>
      </c>
      <c r="AE38" s="27">
        <f t="shared" si="45"/>
        <v>0</v>
      </c>
      <c r="AF38" s="27">
        <f t="shared" si="45"/>
        <v>0.004166666667</v>
      </c>
      <c r="AG38" s="27">
        <f t="shared" si="45"/>
        <v>0</v>
      </c>
      <c r="AH38" s="27">
        <f t="shared" si="45"/>
        <v>0</v>
      </c>
      <c r="AI38" s="27">
        <f t="shared" si="45"/>
        <v>0</v>
      </c>
      <c r="AJ38" s="27">
        <f t="shared" si="45"/>
        <v>0</v>
      </c>
      <c r="AK38" s="27">
        <f t="shared" si="45"/>
        <v>0</v>
      </c>
    </row>
    <row r="39" ht="15.75" customHeight="1">
      <c r="A39" s="27">
        <v>35.0</v>
      </c>
      <c r="B39" s="27"/>
      <c r="C39" s="27">
        <f t="shared" si="2"/>
        <v>0</v>
      </c>
      <c r="D39" s="27">
        <v>70.0</v>
      </c>
      <c r="E39" s="27">
        <f t="shared" si="3"/>
        <v>0</v>
      </c>
      <c r="G39" s="27">
        <f t="shared" si="4"/>
        <v>0</v>
      </c>
      <c r="H39" s="27">
        <v>24.0</v>
      </c>
      <c r="I39" s="27">
        <f t="shared" si="5"/>
        <v>0</v>
      </c>
      <c r="J39" s="27">
        <v>56.0</v>
      </c>
      <c r="K39" s="27">
        <f t="shared" si="6"/>
        <v>0</v>
      </c>
      <c r="L39" s="27">
        <v>47.0</v>
      </c>
      <c r="M39" s="27">
        <f t="shared" si="7"/>
        <v>0</v>
      </c>
      <c r="O39" s="27">
        <f t="shared" si="8"/>
        <v>0</v>
      </c>
      <c r="P39" s="27">
        <v>120.0</v>
      </c>
      <c r="Q39" s="27">
        <f t="shared" si="9"/>
        <v>0</v>
      </c>
      <c r="S39" s="27">
        <v>57.0</v>
      </c>
      <c r="T39" s="27">
        <v>5.0</v>
      </c>
      <c r="U39" s="27">
        <v>0.0</v>
      </c>
      <c r="V39" s="27">
        <v>0.0</v>
      </c>
      <c r="W39" s="27">
        <v>0.0</v>
      </c>
      <c r="X39" s="27">
        <v>5.0</v>
      </c>
      <c r="Y39" s="27">
        <v>5.0</v>
      </c>
      <c r="Z39" s="27">
        <v>0.0</v>
      </c>
      <c r="AA39" s="27">
        <v>0.0</v>
      </c>
      <c r="AC39" s="27">
        <v>57.0</v>
      </c>
      <c r="AD39" s="27">
        <f t="shared" ref="AD39:AK39" si="46">T39/$S$1</f>
        <v>0.02083333333</v>
      </c>
      <c r="AE39" s="27">
        <f t="shared" si="46"/>
        <v>0</v>
      </c>
      <c r="AF39" s="27">
        <f t="shared" si="46"/>
        <v>0</v>
      </c>
      <c r="AG39" s="27">
        <f t="shared" si="46"/>
        <v>0</v>
      </c>
      <c r="AH39" s="27">
        <f t="shared" si="46"/>
        <v>0.02083333333</v>
      </c>
      <c r="AI39" s="27">
        <f t="shared" si="46"/>
        <v>0.02083333333</v>
      </c>
      <c r="AJ39" s="27">
        <f t="shared" si="46"/>
        <v>0</v>
      </c>
      <c r="AK39" s="27">
        <f t="shared" si="46"/>
        <v>0</v>
      </c>
    </row>
    <row r="40" ht="15.75" customHeight="1">
      <c r="A40" s="27">
        <v>19.0</v>
      </c>
      <c r="B40" s="27"/>
      <c r="C40" s="27">
        <f t="shared" si="2"/>
        <v>0</v>
      </c>
      <c r="D40" s="27">
        <v>19.0</v>
      </c>
      <c r="E40" s="27">
        <f t="shared" si="3"/>
        <v>0</v>
      </c>
      <c r="G40" s="27">
        <f t="shared" si="4"/>
        <v>0</v>
      </c>
      <c r="H40" s="27">
        <v>50.0</v>
      </c>
      <c r="I40" s="27">
        <f t="shared" si="5"/>
        <v>0</v>
      </c>
      <c r="J40" s="27">
        <v>25.0</v>
      </c>
      <c r="K40" s="27">
        <f t="shared" si="6"/>
        <v>0</v>
      </c>
      <c r="L40" s="27">
        <v>48.0</v>
      </c>
      <c r="M40" s="27">
        <f t="shared" si="7"/>
        <v>0</v>
      </c>
      <c r="O40" s="27">
        <f t="shared" si="8"/>
        <v>0</v>
      </c>
      <c r="P40" s="27">
        <v>120.0</v>
      </c>
      <c r="Q40" s="27">
        <f t="shared" si="9"/>
        <v>0</v>
      </c>
      <c r="S40" s="27">
        <v>58.0</v>
      </c>
      <c r="T40" s="27">
        <v>11.0</v>
      </c>
      <c r="U40" s="27">
        <v>1.0</v>
      </c>
      <c r="V40" s="27">
        <v>2.0</v>
      </c>
      <c r="W40" s="27">
        <v>0.0</v>
      </c>
      <c r="X40" s="27">
        <v>8.0</v>
      </c>
      <c r="Y40" s="27">
        <v>7.0</v>
      </c>
      <c r="Z40" s="27">
        <v>0.0</v>
      </c>
      <c r="AA40" s="27">
        <v>5.0</v>
      </c>
      <c r="AC40" s="27">
        <v>58.0</v>
      </c>
      <c r="AD40" s="27">
        <f t="shared" ref="AD40:AK40" si="47">T40/$S$1</f>
        <v>0.04583333333</v>
      </c>
      <c r="AE40" s="27">
        <f t="shared" si="47"/>
        <v>0.004166666667</v>
      </c>
      <c r="AF40" s="27">
        <f t="shared" si="47"/>
        <v>0.008333333333</v>
      </c>
      <c r="AG40" s="27">
        <f t="shared" si="47"/>
        <v>0</v>
      </c>
      <c r="AH40" s="27">
        <f t="shared" si="47"/>
        <v>0.03333333333</v>
      </c>
      <c r="AI40" s="27">
        <f t="shared" si="47"/>
        <v>0.02916666667</v>
      </c>
      <c r="AJ40" s="27">
        <f t="shared" si="47"/>
        <v>0</v>
      </c>
      <c r="AK40" s="27">
        <f t="shared" si="47"/>
        <v>0.02083333333</v>
      </c>
    </row>
    <row r="41" ht="15.75" customHeight="1">
      <c r="A41" s="27">
        <v>40.0</v>
      </c>
      <c r="B41" s="27"/>
      <c r="C41" s="27">
        <f t="shared" si="2"/>
        <v>0</v>
      </c>
      <c r="D41" s="27">
        <v>74.0</v>
      </c>
      <c r="E41" s="27">
        <f t="shared" si="3"/>
        <v>0</v>
      </c>
      <c r="G41" s="27">
        <f t="shared" si="4"/>
        <v>0</v>
      </c>
      <c r="H41" s="27">
        <v>28.0</v>
      </c>
      <c r="I41" s="27">
        <f t="shared" si="5"/>
        <v>0</v>
      </c>
      <c r="J41" s="27">
        <v>12.0</v>
      </c>
      <c r="K41" s="27">
        <f t="shared" si="6"/>
        <v>0</v>
      </c>
      <c r="L41" s="27">
        <v>51.0</v>
      </c>
      <c r="M41" s="27">
        <f t="shared" si="7"/>
        <v>0</v>
      </c>
      <c r="O41" s="27">
        <f t="shared" si="8"/>
        <v>0</v>
      </c>
      <c r="P41" s="27">
        <v>201.0</v>
      </c>
      <c r="Q41" s="27">
        <f t="shared" si="9"/>
        <v>0</v>
      </c>
      <c r="S41" s="27">
        <v>59.0</v>
      </c>
      <c r="T41" s="27">
        <v>1.0</v>
      </c>
      <c r="U41" s="27">
        <v>0.0</v>
      </c>
      <c r="V41" s="27">
        <v>0.0</v>
      </c>
      <c r="W41" s="27">
        <v>0.0</v>
      </c>
      <c r="X41" s="27">
        <v>1.0</v>
      </c>
      <c r="Y41" s="27">
        <v>1.0</v>
      </c>
      <c r="Z41" s="27">
        <v>0.0</v>
      </c>
      <c r="AA41" s="27">
        <v>0.0</v>
      </c>
      <c r="AC41" s="27">
        <v>59.0</v>
      </c>
      <c r="AD41" s="27">
        <f t="shared" ref="AD41:AK41" si="48">T41/$S$1</f>
        <v>0.004166666667</v>
      </c>
      <c r="AE41" s="27">
        <f t="shared" si="48"/>
        <v>0</v>
      </c>
      <c r="AF41" s="27">
        <f t="shared" si="48"/>
        <v>0</v>
      </c>
      <c r="AG41" s="27">
        <f t="shared" si="48"/>
        <v>0</v>
      </c>
      <c r="AH41" s="27">
        <f t="shared" si="48"/>
        <v>0.004166666667</v>
      </c>
      <c r="AI41" s="27">
        <f t="shared" si="48"/>
        <v>0.004166666667</v>
      </c>
      <c r="AJ41" s="27">
        <f t="shared" si="48"/>
        <v>0</v>
      </c>
      <c r="AK41" s="27">
        <f t="shared" si="48"/>
        <v>0</v>
      </c>
    </row>
    <row r="42" ht="15.75" customHeight="1">
      <c r="A42" s="27">
        <v>17.0</v>
      </c>
      <c r="B42" s="27"/>
      <c r="C42" s="27">
        <f t="shared" si="2"/>
        <v>0</v>
      </c>
      <c r="D42" s="27">
        <v>5.0</v>
      </c>
      <c r="E42" s="27">
        <f t="shared" si="3"/>
        <v>0</v>
      </c>
      <c r="G42" s="27">
        <f t="shared" si="4"/>
        <v>0</v>
      </c>
      <c r="H42" s="27">
        <v>25.0</v>
      </c>
      <c r="I42" s="27">
        <f t="shared" si="5"/>
        <v>0</v>
      </c>
      <c r="J42" s="27">
        <v>25.0</v>
      </c>
      <c r="K42" s="27">
        <f t="shared" si="6"/>
        <v>0</v>
      </c>
      <c r="L42" s="27">
        <v>52.0</v>
      </c>
      <c r="M42" s="27">
        <f t="shared" si="7"/>
        <v>0</v>
      </c>
      <c r="O42" s="27">
        <f t="shared" si="8"/>
        <v>0</v>
      </c>
      <c r="P42" s="27">
        <v>74.0</v>
      </c>
      <c r="Q42" s="27">
        <f t="shared" si="9"/>
        <v>0</v>
      </c>
      <c r="S42" s="27">
        <v>62.0</v>
      </c>
      <c r="T42" s="27">
        <v>1.0</v>
      </c>
      <c r="U42" s="27">
        <v>0.0</v>
      </c>
      <c r="V42" s="27">
        <v>0.0</v>
      </c>
      <c r="W42" s="27">
        <v>0.0</v>
      </c>
      <c r="X42" s="27">
        <v>1.0</v>
      </c>
      <c r="Y42" s="27">
        <v>0.0</v>
      </c>
      <c r="Z42" s="27">
        <v>0.0</v>
      </c>
      <c r="AA42" s="27">
        <v>0.0</v>
      </c>
      <c r="AC42" s="27">
        <v>62.0</v>
      </c>
      <c r="AD42" s="27">
        <f t="shared" ref="AD42:AK42" si="49">T42/$S$1</f>
        <v>0.004166666667</v>
      </c>
      <c r="AE42" s="27">
        <f t="shared" si="49"/>
        <v>0</v>
      </c>
      <c r="AF42" s="27">
        <f t="shared" si="49"/>
        <v>0</v>
      </c>
      <c r="AG42" s="27">
        <f t="shared" si="49"/>
        <v>0</v>
      </c>
      <c r="AH42" s="27">
        <f t="shared" si="49"/>
        <v>0.004166666667</v>
      </c>
      <c r="AI42" s="27">
        <f t="shared" si="49"/>
        <v>0</v>
      </c>
      <c r="AJ42" s="27">
        <f t="shared" si="49"/>
        <v>0</v>
      </c>
      <c r="AK42" s="27">
        <f t="shared" si="49"/>
        <v>0</v>
      </c>
    </row>
    <row r="43" ht="15.75" customHeight="1">
      <c r="A43" s="27">
        <v>42.0</v>
      </c>
      <c r="B43" s="27"/>
      <c r="C43" s="27">
        <f t="shared" si="2"/>
        <v>0</v>
      </c>
      <c r="D43" s="27">
        <v>76.0</v>
      </c>
      <c r="E43" s="27">
        <f t="shared" si="3"/>
        <v>0</v>
      </c>
      <c r="G43" s="27">
        <f t="shared" si="4"/>
        <v>0</v>
      </c>
      <c r="H43" s="27">
        <v>25.0</v>
      </c>
      <c r="I43" s="27">
        <f t="shared" si="5"/>
        <v>0</v>
      </c>
      <c r="J43" s="27">
        <v>65.0</v>
      </c>
      <c r="K43" s="27">
        <f t="shared" si="6"/>
        <v>0</v>
      </c>
      <c r="L43" s="27">
        <v>54.0</v>
      </c>
      <c r="M43" s="27">
        <f t="shared" si="7"/>
        <v>0</v>
      </c>
      <c r="O43" s="27">
        <f t="shared" si="8"/>
        <v>0</v>
      </c>
      <c r="P43" s="27">
        <v>74.0</v>
      </c>
      <c r="Q43" s="27">
        <f t="shared" si="9"/>
        <v>0</v>
      </c>
      <c r="S43" s="27">
        <v>64.0</v>
      </c>
      <c r="T43" s="27">
        <v>1.0</v>
      </c>
      <c r="U43" s="27">
        <v>0.0</v>
      </c>
      <c r="V43" s="27">
        <v>0.0</v>
      </c>
      <c r="W43" s="27">
        <v>0.0</v>
      </c>
      <c r="X43" s="27">
        <v>0.0</v>
      </c>
      <c r="Y43" s="27">
        <v>0.0</v>
      </c>
      <c r="Z43" s="27">
        <v>0.0</v>
      </c>
      <c r="AA43" s="27">
        <v>0.0</v>
      </c>
      <c r="AC43" s="27">
        <v>64.0</v>
      </c>
      <c r="AD43" s="27">
        <f t="shared" ref="AD43:AK43" si="50">T43/$S$1</f>
        <v>0.004166666667</v>
      </c>
      <c r="AE43" s="27">
        <f t="shared" si="50"/>
        <v>0</v>
      </c>
      <c r="AF43" s="27">
        <f t="shared" si="50"/>
        <v>0</v>
      </c>
      <c r="AG43" s="27">
        <f t="shared" si="50"/>
        <v>0</v>
      </c>
      <c r="AH43" s="27">
        <f t="shared" si="50"/>
        <v>0</v>
      </c>
      <c r="AI43" s="27">
        <f t="shared" si="50"/>
        <v>0</v>
      </c>
      <c r="AJ43" s="27">
        <f t="shared" si="50"/>
        <v>0</v>
      </c>
      <c r="AK43" s="27">
        <f t="shared" si="50"/>
        <v>0</v>
      </c>
    </row>
    <row r="44" ht="15.75" customHeight="1">
      <c r="A44" s="27">
        <v>43.0</v>
      </c>
      <c r="B44" s="27"/>
      <c r="C44" s="27">
        <f t="shared" si="2"/>
        <v>0</v>
      </c>
      <c r="D44" s="27">
        <v>70.0</v>
      </c>
      <c r="E44" s="27">
        <f t="shared" si="3"/>
        <v>0</v>
      </c>
      <c r="G44" s="27">
        <f t="shared" si="4"/>
        <v>0</v>
      </c>
      <c r="H44" s="27">
        <v>25.0</v>
      </c>
      <c r="I44" s="27">
        <f t="shared" si="5"/>
        <v>0</v>
      </c>
      <c r="J44" s="27">
        <v>66.0</v>
      </c>
      <c r="K44" s="27">
        <f t="shared" si="6"/>
        <v>0</v>
      </c>
      <c r="L44" s="27">
        <v>52.0</v>
      </c>
      <c r="M44" s="27">
        <f t="shared" si="7"/>
        <v>0</v>
      </c>
      <c r="O44" s="27">
        <f t="shared" si="8"/>
        <v>0</v>
      </c>
      <c r="P44" s="27">
        <v>207.0</v>
      </c>
      <c r="Q44" s="27">
        <f t="shared" si="9"/>
        <v>0</v>
      </c>
      <c r="S44" s="27">
        <v>65.0</v>
      </c>
      <c r="T44" s="27">
        <v>1.0</v>
      </c>
      <c r="U44" s="27">
        <v>0.0</v>
      </c>
      <c r="V44" s="27">
        <v>1.0</v>
      </c>
      <c r="W44" s="27">
        <v>0.0</v>
      </c>
      <c r="X44" s="27">
        <v>1.0</v>
      </c>
      <c r="Y44" s="27">
        <v>0.0</v>
      </c>
      <c r="Z44" s="27">
        <v>0.0</v>
      </c>
      <c r="AA44" s="27">
        <v>0.0</v>
      </c>
      <c r="AC44" s="27">
        <v>65.0</v>
      </c>
      <c r="AD44" s="27">
        <f t="shared" ref="AD44:AK44" si="51">T44/$S$1</f>
        <v>0.004166666667</v>
      </c>
      <c r="AE44" s="27">
        <f t="shared" si="51"/>
        <v>0</v>
      </c>
      <c r="AF44" s="27">
        <f t="shared" si="51"/>
        <v>0.004166666667</v>
      </c>
      <c r="AG44" s="27">
        <f t="shared" si="51"/>
        <v>0</v>
      </c>
      <c r="AH44" s="27">
        <f t="shared" si="51"/>
        <v>0.004166666667</v>
      </c>
      <c r="AI44" s="27">
        <f t="shared" si="51"/>
        <v>0</v>
      </c>
      <c r="AJ44" s="27">
        <f t="shared" si="51"/>
        <v>0</v>
      </c>
      <c r="AK44" s="27">
        <f t="shared" si="51"/>
        <v>0</v>
      </c>
    </row>
    <row r="45" ht="15.75" customHeight="1">
      <c r="A45" s="27">
        <v>43.0</v>
      </c>
      <c r="B45" s="27"/>
      <c r="C45" s="27">
        <f t="shared" si="2"/>
        <v>0</v>
      </c>
      <c r="D45" s="27">
        <v>23.0</v>
      </c>
      <c r="E45" s="27">
        <f t="shared" si="3"/>
        <v>0</v>
      </c>
      <c r="G45" s="27">
        <f t="shared" si="4"/>
        <v>0</v>
      </c>
      <c r="H45" s="27">
        <v>112.0</v>
      </c>
      <c r="I45" s="27">
        <f t="shared" si="5"/>
        <v>0</v>
      </c>
      <c r="J45" s="27">
        <v>24.0</v>
      </c>
      <c r="K45" s="27">
        <f t="shared" si="6"/>
        <v>0</v>
      </c>
      <c r="L45" s="27">
        <v>57.0</v>
      </c>
      <c r="M45" s="27">
        <f t="shared" si="7"/>
        <v>0</v>
      </c>
      <c r="O45" s="27">
        <f t="shared" si="8"/>
        <v>0</v>
      </c>
      <c r="P45" s="27">
        <v>17.0</v>
      </c>
      <c r="Q45" s="27">
        <f t="shared" si="9"/>
        <v>0</v>
      </c>
      <c r="S45" s="27">
        <v>66.0</v>
      </c>
      <c r="T45" s="27">
        <v>15.0</v>
      </c>
      <c r="U45" s="27">
        <v>0.0</v>
      </c>
      <c r="V45" s="27">
        <v>15.0</v>
      </c>
      <c r="W45" s="27">
        <v>0.0</v>
      </c>
      <c r="X45" s="27">
        <v>15.0</v>
      </c>
      <c r="Y45" s="27">
        <v>0.0</v>
      </c>
      <c r="Z45" s="27">
        <v>0.0</v>
      </c>
      <c r="AA45" s="27">
        <v>0.0</v>
      </c>
      <c r="AC45" s="27">
        <v>66.0</v>
      </c>
      <c r="AD45" s="27">
        <f t="shared" ref="AD45:AK45" si="52">T45/$S$1</f>
        <v>0.0625</v>
      </c>
      <c r="AE45" s="27">
        <f t="shared" si="52"/>
        <v>0</v>
      </c>
      <c r="AF45" s="27">
        <f t="shared" si="52"/>
        <v>0.0625</v>
      </c>
      <c r="AG45" s="27">
        <f t="shared" si="52"/>
        <v>0</v>
      </c>
      <c r="AH45" s="27">
        <f t="shared" si="52"/>
        <v>0.0625</v>
      </c>
      <c r="AI45" s="27">
        <f t="shared" si="52"/>
        <v>0</v>
      </c>
      <c r="AJ45" s="27">
        <f t="shared" si="52"/>
        <v>0</v>
      </c>
      <c r="AK45" s="27">
        <f t="shared" si="52"/>
        <v>0</v>
      </c>
    </row>
    <row r="46" ht="15.75" customHeight="1">
      <c r="A46" s="27">
        <v>45.0</v>
      </c>
      <c r="B46" s="27"/>
      <c r="C46" s="27">
        <f t="shared" si="2"/>
        <v>0</v>
      </c>
      <c r="D46" s="27">
        <v>83.0</v>
      </c>
      <c r="E46" s="27">
        <f t="shared" si="3"/>
        <v>0</v>
      </c>
      <c r="G46" s="27">
        <f t="shared" si="4"/>
        <v>0</v>
      </c>
      <c r="H46" s="27">
        <v>120.0</v>
      </c>
      <c r="I46" s="27">
        <f t="shared" si="5"/>
        <v>0</v>
      </c>
      <c r="J46" s="27">
        <v>68.0</v>
      </c>
      <c r="K46" s="27">
        <f t="shared" si="6"/>
        <v>0</v>
      </c>
      <c r="L46" s="27">
        <v>58.0</v>
      </c>
      <c r="M46" s="27">
        <f t="shared" si="7"/>
        <v>0</v>
      </c>
      <c r="O46" s="27">
        <f t="shared" si="8"/>
        <v>0</v>
      </c>
      <c r="P46" s="27">
        <v>23.0</v>
      </c>
      <c r="Q46" s="27">
        <f t="shared" si="9"/>
        <v>0</v>
      </c>
      <c r="S46" s="27">
        <v>68.0</v>
      </c>
      <c r="T46" s="27">
        <v>1.0</v>
      </c>
      <c r="U46" s="27">
        <v>1.0</v>
      </c>
      <c r="V46" s="27">
        <v>1.0</v>
      </c>
      <c r="W46" s="27">
        <v>0.0</v>
      </c>
      <c r="X46" s="27">
        <v>1.0</v>
      </c>
      <c r="Y46" s="27">
        <v>0.0</v>
      </c>
      <c r="Z46" s="27">
        <v>0.0</v>
      </c>
      <c r="AA46" s="27">
        <v>0.0</v>
      </c>
      <c r="AC46" s="27">
        <v>68.0</v>
      </c>
      <c r="AD46" s="27">
        <f t="shared" ref="AD46:AK46" si="53">T46/$S$1</f>
        <v>0.004166666667</v>
      </c>
      <c r="AE46" s="27">
        <f t="shared" si="53"/>
        <v>0.004166666667</v>
      </c>
      <c r="AF46" s="27">
        <f t="shared" si="53"/>
        <v>0.004166666667</v>
      </c>
      <c r="AG46" s="27">
        <f t="shared" si="53"/>
        <v>0</v>
      </c>
      <c r="AH46" s="27">
        <f t="shared" si="53"/>
        <v>0.004166666667</v>
      </c>
      <c r="AI46" s="27">
        <f t="shared" si="53"/>
        <v>0</v>
      </c>
      <c r="AJ46" s="27">
        <f t="shared" si="53"/>
        <v>0</v>
      </c>
      <c r="AK46" s="27">
        <f t="shared" si="53"/>
        <v>0</v>
      </c>
    </row>
    <row r="47" ht="15.75" customHeight="1">
      <c r="A47" s="27">
        <v>12.0</v>
      </c>
      <c r="B47" s="27"/>
      <c r="C47" s="27">
        <f t="shared" si="2"/>
        <v>0</v>
      </c>
      <c r="D47" s="27">
        <v>85.0</v>
      </c>
      <c r="E47" s="27">
        <f t="shared" si="3"/>
        <v>0</v>
      </c>
      <c r="G47" s="27">
        <f t="shared" si="4"/>
        <v>0</v>
      </c>
      <c r="H47" s="27">
        <v>120.0</v>
      </c>
      <c r="I47" s="27">
        <f t="shared" si="5"/>
        <v>0</v>
      </c>
      <c r="J47" s="27">
        <v>3.0</v>
      </c>
      <c r="K47" s="27">
        <f t="shared" si="6"/>
        <v>0</v>
      </c>
      <c r="L47" s="27">
        <v>59.0</v>
      </c>
      <c r="M47" s="27">
        <f t="shared" si="7"/>
        <v>0</v>
      </c>
      <c r="O47" s="27">
        <f t="shared" si="8"/>
        <v>0</v>
      </c>
      <c r="P47" s="27">
        <v>74.0</v>
      </c>
      <c r="Q47" s="27">
        <f t="shared" si="9"/>
        <v>0</v>
      </c>
      <c r="S47" s="27">
        <v>70.0</v>
      </c>
      <c r="T47" s="27">
        <v>2.0</v>
      </c>
      <c r="U47" s="27">
        <v>0.0</v>
      </c>
      <c r="V47" s="27">
        <v>0.0</v>
      </c>
      <c r="W47" s="27">
        <v>0.0</v>
      </c>
      <c r="X47" s="27">
        <v>1.0</v>
      </c>
      <c r="Y47" s="27">
        <v>2.0</v>
      </c>
      <c r="Z47" s="27">
        <v>0.0</v>
      </c>
      <c r="AA47" s="27">
        <v>0.0</v>
      </c>
      <c r="AC47" s="27">
        <v>70.0</v>
      </c>
      <c r="AD47" s="27">
        <f t="shared" ref="AD47:AK47" si="54">T47/$S$1</f>
        <v>0.008333333333</v>
      </c>
      <c r="AE47" s="27">
        <f t="shared" si="54"/>
        <v>0</v>
      </c>
      <c r="AF47" s="27">
        <f t="shared" si="54"/>
        <v>0</v>
      </c>
      <c r="AG47" s="27">
        <f t="shared" si="54"/>
        <v>0</v>
      </c>
      <c r="AH47" s="27">
        <f t="shared" si="54"/>
        <v>0.004166666667</v>
      </c>
      <c r="AI47" s="27">
        <f t="shared" si="54"/>
        <v>0.008333333333</v>
      </c>
      <c r="AJ47" s="27">
        <f t="shared" si="54"/>
        <v>0</v>
      </c>
      <c r="AK47" s="27">
        <f t="shared" si="54"/>
        <v>0</v>
      </c>
    </row>
    <row r="48" ht="15.75" customHeight="1">
      <c r="A48" s="27">
        <v>47.0</v>
      </c>
      <c r="B48" s="27"/>
      <c r="C48" s="27">
        <f t="shared" si="2"/>
        <v>0</v>
      </c>
      <c r="D48" s="27">
        <v>57.0</v>
      </c>
      <c r="E48" s="27">
        <f t="shared" si="3"/>
        <v>0</v>
      </c>
      <c r="G48" s="27">
        <f t="shared" si="4"/>
        <v>0</v>
      </c>
      <c r="H48" s="27">
        <v>123.0</v>
      </c>
      <c r="I48" s="27">
        <f t="shared" si="5"/>
        <v>0</v>
      </c>
      <c r="J48" s="27">
        <v>66.0</v>
      </c>
      <c r="K48" s="27">
        <f t="shared" si="6"/>
        <v>0</v>
      </c>
      <c r="L48" s="27">
        <v>25.0</v>
      </c>
      <c r="M48" s="27">
        <f t="shared" si="7"/>
        <v>0</v>
      </c>
      <c r="O48" s="27">
        <f t="shared" si="8"/>
        <v>0</v>
      </c>
      <c r="P48" s="27">
        <v>120.0</v>
      </c>
      <c r="Q48" s="27">
        <f t="shared" si="9"/>
        <v>0</v>
      </c>
      <c r="S48" s="27">
        <v>73.0</v>
      </c>
      <c r="T48" s="27">
        <v>1.0</v>
      </c>
      <c r="U48" s="27">
        <v>0.0</v>
      </c>
      <c r="V48" s="27">
        <v>0.0</v>
      </c>
      <c r="W48" s="27">
        <v>0.0</v>
      </c>
      <c r="X48" s="27">
        <v>0.0</v>
      </c>
      <c r="Y48" s="27">
        <v>0.0</v>
      </c>
      <c r="Z48" s="27">
        <v>0.0</v>
      </c>
      <c r="AA48" s="27">
        <v>0.0</v>
      </c>
      <c r="AC48" s="27">
        <v>73.0</v>
      </c>
      <c r="AD48" s="27">
        <f t="shared" ref="AD48:AK48" si="55">T48/$S$1</f>
        <v>0.004166666667</v>
      </c>
      <c r="AE48" s="27">
        <f t="shared" si="55"/>
        <v>0</v>
      </c>
      <c r="AF48" s="27">
        <f t="shared" si="55"/>
        <v>0</v>
      </c>
      <c r="AG48" s="27">
        <f t="shared" si="55"/>
        <v>0</v>
      </c>
      <c r="AH48" s="27">
        <f t="shared" si="55"/>
        <v>0</v>
      </c>
      <c r="AI48" s="27">
        <f t="shared" si="55"/>
        <v>0</v>
      </c>
      <c r="AJ48" s="27">
        <f t="shared" si="55"/>
        <v>0</v>
      </c>
      <c r="AK48" s="27">
        <f t="shared" si="55"/>
        <v>0</v>
      </c>
    </row>
    <row r="49" ht="15.75" customHeight="1">
      <c r="A49" s="27">
        <v>48.0</v>
      </c>
      <c r="B49" s="27"/>
      <c r="C49" s="27">
        <f t="shared" si="2"/>
        <v>0</v>
      </c>
      <c r="D49" s="27">
        <v>28.0</v>
      </c>
      <c r="E49" s="27">
        <f t="shared" si="3"/>
        <v>0</v>
      </c>
      <c r="G49" s="27">
        <f t="shared" si="4"/>
        <v>0</v>
      </c>
      <c r="H49" s="27">
        <v>125.0</v>
      </c>
      <c r="I49" s="27">
        <f t="shared" si="5"/>
        <v>0</v>
      </c>
      <c r="J49" s="27">
        <v>76.0</v>
      </c>
      <c r="K49" s="27">
        <f t="shared" si="6"/>
        <v>0</v>
      </c>
      <c r="L49" s="27">
        <v>12.0</v>
      </c>
      <c r="M49" s="27">
        <f t="shared" si="7"/>
        <v>0</v>
      </c>
      <c r="O49" s="27">
        <f t="shared" si="8"/>
        <v>0</v>
      </c>
      <c r="P49" s="27">
        <v>120.0</v>
      </c>
      <c r="Q49" s="27">
        <f t="shared" si="9"/>
        <v>0</v>
      </c>
      <c r="S49" s="27">
        <v>74.0</v>
      </c>
      <c r="T49" s="27">
        <v>24.0</v>
      </c>
      <c r="U49" s="27">
        <v>0.0</v>
      </c>
      <c r="V49" s="27">
        <v>0.0</v>
      </c>
      <c r="W49" s="27">
        <v>0.0</v>
      </c>
      <c r="X49" s="27">
        <v>21.0</v>
      </c>
      <c r="Y49" s="27">
        <v>22.0</v>
      </c>
      <c r="Z49" s="27">
        <v>0.0</v>
      </c>
      <c r="AA49" s="27">
        <v>6.0</v>
      </c>
      <c r="AC49" s="27">
        <v>74.0</v>
      </c>
      <c r="AD49" s="27">
        <f t="shared" ref="AD49:AK49" si="56">T49/$S$1</f>
        <v>0.1</v>
      </c>
      <c r="AE49" s="27">
        <f t="shared" si="56"/>
        <v>0</v>
      </c>
      <c r="AF49" s="27">
        <f t="shared" si="56"/>
        <v>0</v>
      </c>
      <c r="AG49" s="27">
        <f t="shared" si="56"/>
        <v>0</v>
      </c>
      <c r="AH49" s="27">
        <f t="shared" si="56"/>
        <v>0.0875</v>
      </c>
      <c r="AI49" s="27">
        <f t="shared" si="56"/>
        <v>0.09166666667</v>
      </c>
      <c r="AJ49" s="27">
        <f t="shared" si="56"/>
        <v>0</v>
      </c>
      <c r="AK49" s="27">
        <f t="shared" si="56"/>
        <v>0.025</v>
      </c>
    </row>
    <row r="50" ht="15.75" customHeight="1">
      <c r="A50" s="27">
        <v>24.0</v>
      </c>
      <c r="B50" s="27"/>
      <c r="C50" s="27">
        <f t="shared" si="2"/>
        <v>0</v>
      </c>
      <c r="D50" s="27">
        <v>74.0</v>
      </c>
      <c r="E50" s="27">
        <f t="shared" si="3"/>
        <v>0</v>
      </c>
      <c r="G50" s="27">
        <f t="shared" si="4"/>
        <v>0</v>
      </c>
      <c r="H50" s="27">
        <v>130.0</v>
      </c>
      <c r="I50" s="27">
        <f t="shared" si="5"/>
        <v>0</v>
      </c>
      <c r="J50" s="27">
        <v>12.0</v>
      </c>
      <c r="K50" s="27">
        <f t="shared" si="6"/>
        <v>0</v>
      </c>
      <c r="L50" s="27">
        <v>62.0</v>
      </c>
      <c r="M50" s="27">
        <f t="shared" si="7"/>
        <v>0</v>
      </c>
      <c r="O50" s="27">
        <f t="shared" si="8"/>
        <v>0</v>
      </c>
      <c r="P50" s="27">
        <v>232.0</v>
      </c>
      <c r="Q50" s="27">
        <f t="shared" si="9"/>
        <v>0</v>
      </c>
      <c r="S50" s="27">
        <v>76.0</v>
      </c>
      <c r="T50" s="27">
        <v>1.0</v>
      </c>
      <c r="U50" s="27">
        <v>1.0</v>
      </c>
      <c r="V50" s="27">
        <v>1.0</v>
      </c>
      <c r="W50" s="27">
        <v>0.0</v>
      </c>
      <c r="X50" s="27">
        <v>1.0</v>
      </c>
      <c r="Y50" s="27">
        <v>1.0</v>
      </c>
      <c r="Z50" s="27">
        <v>1.0</v>
      </c>
      <c r="AA50" s="27">
        <v>0.0</v>
      </c>
      <c r="AC50" s="27">
        <v>76.0</v>
      </c>
      <c r="AD50" s="27">
        <f t="shared" ref="AD50:AK50" si="57">T50/$S$1</f>
        <v>0.004166666667</v>
      </c>
      <c r="AE50" s="27">
        <f t="shared" si="57"/>
        <v>0.004166666667</v>
      </c>
      <c r="AF50" s="27">
        <f t="shared" si="57"/>
        <v>0.004166666667</v>
      </c>
      <c r="AG50" s="27">
        <f t="shared" si="57"/>
        <v>0</v>
      </c>
      <c r="AH50" s="27">
        <f t="shared" si="57"/>
        <v>0.004166666667</v>
      </c>
      <c r="AI50" s="27">
        <f t="shared" si="57"/>
        <v>0.004166666667</v>
      </c>
      <c r="AJ50" s="27">
        <f t="shared" si="57"/>
        <v>0.004166666667</v>
      </c>
      <c r="AK50" s="27">
        <f t="shared" si="57"/>
        <v>0</v>
      </c>
    </row>
    <row r="51" ht="15.75" customHeight="1">
      <c r="A51" s="27">
        <v>50.0</v>
      </c>
      <c r="B51" s="27"/>
      <c r="C51" s="27">
        <f t="shared" si="2"/>
        <v>0</v>
      </c>
      <c r="D51" s="27">
        <v>19.0</v>
      </c>
      <c r="E51" s="27">
        <f t="shared" si="3"/>
        <v>0</v>
      </c>
      <c r="G51" s="27">
        <f t="shared" si="4"/>
        <v>0</v>
      </c>
      <c r="H51" s="27">
        <v>132.0</v>
      </c>
      <c r="I51" s="27">
        <f t="shared" si="5"/>
        <v>0</v>
      </c>
      <c r="J51" s="27">
        <v>12.0</v>
      </c>
      <c r="K51" s="27">
        <f t="shared" si="6"/>
        <v>0</v>
      </c>
      <c r="L51" s="27">
        <v>25.0</v>
      </c>
      <c r="M51" s="27">
        <f t="shared" si="7"/>
        <v>0</v>
      </c>
      <c r="O51" s="27">
        <f t="shared" si="8"/>
        <v>0</v>
      </c>
      <c r="P51" s="27">
        <v>58.0</v>
      </c>
      <c r="Q51" s="27">
        <f t="shared" si="9"/>
        <v>0</v>
      </c>
      <c r="S51" s="27">
        <v>81.0</v>
      </c>
      <c r="T51" s="27">
        <v>5.0</v>
      </c>
      <c r="U51" s="27">
        <v>0.0</v>
      </c>
      <c r="V51" s="27">
        <v>4.0</v>
      </c>
      <c r="W51" s="27">
        <v>0.0</v>
      </c>
      <c r="X51" s="27">
        <v>4.0</v>
      </c>
      <c r="Y51" s="27">
        <v>0.0</v>
      </c>
      <c r="Z51" s="27">
        <v>0.0</v>
      </c>
      <c r="AA51" s="27">
        <v>0.0</v>
      </c>
      <c r="AC51" s="27">
        <v>81.0</v>
      </c>
      <c r="AD51" s="27">
        <f t="shared" ref="AD51:AK51" si="58">T51/$S$1</f>
        <v>0.02083333333</v>
      </c>
      <c r="AE51" s="27">
        <f t="shared" si="58"/>
        <v>0</v>
      </c>
      <c r="AF51" s="27">
        <f t="shared" si="58"/>
        <v>0.01666666667</v>
      </c>
      <c r="AG51" s="27">
        <f t="shared" si="58"/>
        <v>0</v>
      </c>
      <c r="AH51" s="27">
        <f t="shared" si="58"/>
        <v>0.01666666667</v>
      </c>
      <c r="AI51" s="27">
        <f t="shared" si="58"/>
        <v>0</v>
      </c>
      <c r="AJ51" s="27">
        <f t="shared" si="58"/>
        <v>0</v>
      </c>
      <c r="AK51" s="27">
        <f t="shared" si="58"/>
        <v>0</v>
      </c>
    </row>
    <row r="52" ht="15.75" customHeight="1">
      <c r="A52" s="27">
        <v>51.0</v>
      </c>
      <c r="B52" s="27"/>
      <c r="C52" s="27">
        <f t="shared" si="2"/>
        <v>0</v>
      </c>
      <c r="D52" s="27">
        <v>25.0</v>
      </c>
      <c r="E52" s="27">
        <f t="shared" si="3"/>
        <v>0</v>
      </c>
      <c r="G52" s="27">
        <f t="shared" si="4"/>
        <v>0</v>
      </c>
      <c r="H52" s="27">
        <v>133.0</v>
      </c>
      <c r="I52" s="27">
        <f t="shared" si="5"/>
        <v>0</v>
      </c>
      <c r="J52" s="27">
        <v>83.0</v>
      </c>
      <c r="K52" s="27">
        <f t="shared" si="6"/>
        <v>0</v>
      </c>
      <c r="L52" s="27">
        <v>65.0</v>
      </c>
      <c r="M52" s="27">
        <f t="shared" si="7"/>
        <v>0</v>
      </c>
      <c r="O52" s="27">
        <f t="shared" si="8"/>
        <v>0</v>
      </c>
      <c r="P52" s="27">
        <v>58.0</v>
      </c>
      <c r="Q52" s="27">
        <f t="shared" si="9"/>
        <v>0</v>
      </c>
      <c r="S52" s="27">
        <v>83.0</v>
      </c>
      <c r="T52" s="27">
        <v>1.0</v>
      </c>
      <c r="U52" s="27">
        <v>1.0</v>
      </c>
      <c r="V52" s="27">
        <v>1.0</v>
      </c>
      <c r="W52" s="27">
        <v>0.0</v>
      </c>
      <c r="X52" s="27">
        <v>1.0</v>
      </c>
      <c r="Y52" s="27">
        <v>1.0</v>
      </c>
      <c r="Z52" s="27">
        <v>1.0</v>
      </c>
      <c r="AA52" s="27">
        <v>0.0</v>
      </c>
      <c r="AC52" s="27">
        <v>83.0</v>
      </c>
      <c r="AD52" s="27">
        <f t="shared" ref="AD52:AK52" si="59">T52/$S$1</f>
        <v>0.004166666667</v>
      </c>
      <c r="AE52" s="27">
        <f t="shared" si="59"/>
        <v>0.004166666667</v>
      </c>
      <c r="AF52" s="27">
        <f t="shared" si="59"/>
        <v>0.004166666667</v>
      </c>
      <c r="AG52" s="27">
        <f t="shared" si="59"/>
        <v>0</v>
      </c>
      <c r="AH52" s="27">
        <f t="shared" si="59"/>
        <v>0.004166666667</v>
      </c>
      <c r="AI52" s="27">
        <f t="shared" si="59"/>
        <v>0.004166666667</v>
      </c>
      <c r="AJ52" s="27">
        <f t="shared" si="59"/>
        <v>0.004166666667</v>
      </c>
      <c r="AK52" s="27">
        <f t="shared" si="59"/>
        <v>0</v>
      </c>
    </row>
    <row r="53" ht="15.75" customHeight="1">
      <c r="A53" s="27">
        <v>52.0</v>
      </c>
      <c r="B53" s="27"/>
      <c r="C53" s="27">
        <f t="shared" si="2"/>
        <v>0</v>
      </c>
      <c r="D53" s="27">
        <v>103.0</v>
      </c>
      <c r="E53" s="27">
        <f t="shared" si="3"/>
        <v>0</v>
      </c>
      <c r="G53" s="27">
        <f t="shared" si="4"/>
        <v>0</v>
      </c>
      <c r="H53" s="27">
        <v>28.0</v>
      </c>
      <c r="I53" s="27">
        <f t="shared" si="5"/>
        <v>0</v>
      </c>
      <c r="J53" s="27">
        <v>84.0</v>
      </c>
      <c r="K53" s="27">
        <f t="shared" si="6"/>
        <v>0</v>
      </c>
      <c r="L53" s="27">
        <v>66.0</v>
      </c>
      <c r="M53" s="27">
        <f t="shared" si="7"/>
        <v>0</v>
      </c>
      <c r="O53" s="27">
        <f t="shared" si="8"/>
        <v>0</v>
      </c>
      <c r="P53" s="27">
        <v>43.0</v>
      </c>
      <c r="Q53" s="27">
        <f t="shared" si="9"/>
        <v>0</v>
      </c>
      <c r="S53" s="27">
        <v>84.0</v>
      </c>
      <c r="T53" s="27">
        <v>1.0</v>
      </c>
      <c r="U53" s="27">
        <v>0.0</v>
      </c>
      <c r="V53" s="27">
        <v>1.0</v>
      </c>
      <c r="W53" s="27">
        <v>0.0</v>
      </c>
      <c r="X53" s="27">
        <v>0.0</v>
      </c>
      <c r="Y53" s="27">
        <v>0.0</v>
      </c>
      <c r="Z53" s="27">
        <v>0.0</v>
      </c>
      <c r="AA53" s="27">
        <v>0.0</v>
      </c>
      <c r="AC53" s="27">
        <v>84.0</v>
      </c>
      <c r="AD53" s="27">
        <f t="shared" ref="AD53:AK53" si="60">T53/$S$1</f>
        <v>0.004166666667</v>
      </c>
      <c r="AE53" s="27">
        <f t="shared" si="60"/>
        <v>0</v>
      </c>
      <c r="AF53" s="27">
        <f t="shared" si="60"/>
        <v>0.004166666667</v>
      </c>
      <c r="AG53" s="27">
        <f t="shared" si="60"/>
        <v>0</v>
      </c>
      <c r="AH53" s="27">
        <f t="shared" si="60"/>
        <v>0</v>
      </c>
      <c r="AI53" s="27">
        <f t="shared" si="60"/>
        <v>0</v>
      </c>
      <c r="AJ53" s="27">
        <f t="shared" si="60"/>
        <v>0</v>
      </c>
      <c r="AK53" s="27">
        <f t="shared" si="60"/>
        <v>0</v>
      </c>
    </row>
    <row r="54" ht="15.75" customHeight="1">
      <c r="A54" s="27">
        <v>53.0</v>
      </c>
      <c r="B54" s="27"/>
      <c r="C54" s="27">
        <f t="shared" si="2"/>
        <v>0</v>
      </c>
      <c r="D54" s="27">
        <v>104.0</v>
      </c>
      <c r="E54" s="27">
        <f t="shared" si="3"/>
        <v>0</v>
      </c>
      <c r="G54" s="27">
        <f t="shared" si="4"/>
        <v>0</v>
      </c>
      <c r="H54" s="27">
        <v>24.0</v>
      </c>
      <c r="I54" s="27">
        <f t="shared" si="5"/>
        <v>0</v>
      </c>
      <c r="J54" s="27">
        <v>85.0</v>
      </c>
      <c r="K54" s="27">
        <f t="shared" si="6"/>
        <v>0</v>
      </c>
      <c r="L54" s="27">
        <v>68.0</v>
      </c>
      <c r="M54" s="27">
        <f t="shared" si="7"/>
        <v>0</v>
      </c>
      <c r="O54" s="27">
        <f t="shared" si="8"/>
        <v>0</v>
      </c>
      <c r="P54" s="27">
        <v>232.0</v>
      </c>
      <c r="Q54" s="27">
        <f t="shared" si="9"/>
        <v>0</v>
      </c>
      <c r="S54" s="27">
        <v>85.0</v>
      </c>
      <c r="T54" s="27">
        <v>1.0</v>
      </c>
      <c r="U54" s="27">
        <v>1.0</v>
      </c>
      <c r="V54" s="27">
        <v>1.0</v>
      </c>
      <c r="W54" s="27">
        <v>0.0</v>
      </c>
      <c r="X54" s="27">
        <v>1.0</v>
      </c>
      <c r="Y54" s="27">
        <v>1.0</v>
      </c>
      <c r="Z54" s="27">
        <v>0.0</v>
      </c>
      <c r="AA54" s="27">
        <v>0.0</v>
      </c>
      <c r="AC54" s="27">
        <v>85.0</v>
      </c>
      <c r="AD54" s="27">
        <f t="shared" ref="AD54:AK54" si="61">T54/$S$1</f>
        <v>0.004166666667</v>
      </c>
      <c r="AE54" s="27">
        <f t="shared" si="61"/>
        <v>0.004166666667</v>
      </c>
      <c r="AF54" s="27">
        <f t="shared" si="61"/>
        <v>0.004166666667</v>
      </c>
      <c r="AG54" s="27">
        <f t="shared" si="61"/>
        <v>0</v>
      </c>
      <c r="AH54" s="27">
        <f t="shared" si="61"/>
        <v>0.004166666667</v>
      </c>
      <c r="AI54" s="27">
        <f t="shared" si="61"/>
        <v>0.004166666667</v>
      </c>
      <c r="AJ54" s="27">
        <f t="shared" si="61"/>
        <v>0</v>
      </c>
      <c r="AK54" s="27">
        <f t="shared" si="61"/>
        <v>0</v>
      </c>
    </row>
    <row r="55" ht="15.75" customHeight="1">
      <c r="A55" s="27">
        <v>54.0</v>
      </c>
      <c r="B55" s="27"/>
      <c r="C55" s="27">
        <f t="shared" si="2"/>
        <v>0</v>
      </c>
      <c r="D55" s="27">
        <v>57.0</v>
      </c>
      <c r="E55" s="27">
        <f t="shared" si="3"/>
        <v>0</v>
      </c>
      <c r="G55" s="27">
        <f t="shared" si="4"/>
        <v>0</v>
      </c>
      <c r="H55" s="27">
        <v>24.0</v>
      </c>
      <c r="I55" s="27">
        <f t="shared" si="5"/>
        <v>0</v>
      </c>
      <c r="J55" s="27">
        <v>87.0</v>
      </c>
      <c r="K55" s="27">
        <f t="shared" si="6"/>
        <v>0</v>
      </c>
      <c r="L55" s="27">
        <v>66.0</v>
      </c>
      <c r="M55" s="27">
        <f t="shared" si="7"/>
        <v>0</v>
      </c>
      <c r="O55" s="27">
        <f t="shared" si="8"/>
        <v>0</v>
      </c>
      <c r="P55" s="27">
        <v>269.0</v>
      </c>
      <c r="Q55" s="27">
        <f t="shared" si="9"/>
        <v>0</v>
      </c>
      <c r="S55" s="27">
        <v>86.0</v>
      </c>
      <c r="T55" s="27">
        <v>1.0</v>
      </c>
      <c r="U55" s="27">
        <v>0.0</v>
      </c>
      <c r="V55" s="27">
        <v>0.0</v>
      </c>
      <c r="W55" s="27">
        <v>0.0</v>
      </c>
      <c r="X55" s="27">
        <v>1.0</v>
      </c>
      <c r="Y55" s="27">
        <v>0.0</v>
      </c>
      <c r="Z55" s="27">
        <v>0.0</v>
      </c>
      <c r="AA55" s="27">
        <v>0.0</v>
      </c>
      <c r="AC55" s="27">
        <v>86.0</v>
      </c>
      <c r="AD55" s="27">
        <f t="shared" ref="AD55:AK55" si="62">T55/$S$1</f>
        <v>0.004166666667</v>
      </c>
      <c r="AE55" s="27">
        <f t="shared" si="62"/>
        <v>0</v>
      </c>
      <c r="AF55" s="27">
        <f t="shared" si="62"/>
        <v>0</v>
      </c>
      <c r="AG55" s="27">
        <f t="shared" si="62"/>
        <v>0</v>
      </c>
      <c r="AH55" s="27">
        <f t="shared" si="62"/>
        <v>0.004166666667</v>
      </c>
      <c r="AI55" s="27">
        <f t="shared" si="62"/>
        <v>0</v>
      </c>
      <c r="AJ55" s="27">
        <f t="shared" si="62"/>
        <v>0</v>
      </c>
      <c r="AK55" s="27">
        <f t="shared" si="62"/>
        <v>0</v>
      </c>
    </row>
    <row r="56" ht="15.75" customHeight="1">
      <c r="A56" s="27">
        <v>52.0</v>
      </c>
      <c r="B56" s="27"/>
      <c r="C56" s="27">
        <f t="shared" si="2"/>
        <v>0</v>
      </c>
      <c r="D56" s="27">
        <v>57.0</v>
      </c>
      <c r="E56" s="27">
        <f t="shared" si="3"/>
        <v>0</v>
      </c>
      <c r="G56" s="27">
        <f t="shared" si="4"/>
        <v>0</v>
      </c>
      <c r="H56" s="27">
        <v>17.0</v>
      </c>
      <c r="I56" s="27">
        <f t="shared" si="5"/>
        <v>0</v>
      </c>
      <c r="J56" s="27">
        <v>50.0</v>
      </c>
      <c r="K56" s="27">
        <f t="shared" si="6"/>
        <v>0</v>
      </c>
      <c r="L56" s="27">
        <v>74.0</v>
      </c>
      <c r="M56" s="27">
        <f t="shared" si="7"/>
        <v>0</v>
      </c>
      <c r="O56" s="27">
        <f t="shared" si="8"/>
        <v>0</v>
      </c>
      <c r="P56" s="27">
        <v>58.0</v>
      </c>
      <c r="Q56" s="27">
        <f t="shared" si="9"/>
        <v>0</v>
      </c>
      <c r="S56" s="27">
        <v>87.0</v>
      </c>
      <c r="T56" s="27">
        <v>1.0</v>
      </c>
      <c r="U56" s="27">
        <v>0.0</v>
      </c>
      <c r="V56" s="27">
        <v>1.0</v>
      </c>
      <c r="W56" s="27">
        <v>0.0</v>
      </c>
      <c r="X56" s="27">
        <v>1.0</v>
      </c>
      <c r="Y56" s="27">
        <v>0.0</v>
      </c>
      <c r="Z56" s="27">
        <v>0.0</v>
      </c>
      <c r="AA56" s="27">
        <v>0.0</v>
      </c>
      <c r="AC56" s="27">
        <v>87.0</v>
      </c>
      <c r="AD56" s="27">
        <f t="shared" ref="AD56:AK56" si="63">T56/$S$1</f>
        <v>0.004166666667</v>
      </c>
      <c r="AE56" s="27">
        <f t="shared" si="63"/>
        <v>0</v>
      </c>
      <c r="AF56" s="27">
        <f t="shared" si="63"/>
        <v>0.004166666667</v>
      </c>
      <c r="AG56" s="27">
        <f t="shared" si="63"/>
        <v>0</v>
      </c>
      <c r="AH56" s="27">
        <f t="shared" si="63"/>
        <v>0.004166666667</v>
      </c>
      <c r="AI56" s="27">
        <f t="shared" si="63"/>
        <v>0</v>
      </c>
      <c r="AJ56" s="27">
        <f t="shared" si="63"/>
        <v>0</v>
      </c>
      <c r="AK56" s="27">
        <f t="shared" si="63"/>
        <v>0</v>
      </c>
    </row>
    <row r="57" ht="15.75" customHeight="1">
      <c r="A57" s="27">
        <v>56.0</v>
      </c>
      <c r="B57" s="27"/>
      <c r="C57" s="27">
        <f t="shared" si="2"/>
        <v>0</v>
      </c>
      <c r="D57" s="27">
        <v>74.0</v>
      </c>
      <c r="E57" s="27">
        <f t="shared" si="3"/>
        <v>0</v>
      </c>
      <c r="G57" s="27">
        <f t="shared" si="4"/>
        <v>0</v>
      </c>
      <c r="H57" s="27">
        <v>143.0</v>
      </c>
      <c r="I57" s="27">
        <f t="shared" si="5"/>
        <v>0</v>
      </c>
      <c r="J57" s="27">
        <v>24.0</v>
      </c>
      <c r="K57" s="27">
        <f t="shared" si="6"/>
        <v>0</v>
      </c>
      <c r="L57" s="27">
        <v>5.0</v>
      </c>
      <c r="M57" s="27">
        <f t="shared" si="7"/>
        <v>0</v>
      </c>
      <c r="O57" s="27">
        <f t="shared" si="8"/>
        <v>0</v>
      </c>
      <c r="P57" s="27">
        <v>287.0</v>
      </c>
      <c r="Q57" s="27">
        <f t="shared" si="9"/>
        <v>0</v>
      </c>
      <c r="S57" s="27">
        <v>94.0</v>
      </c>
      <c r="T57" s="27">
        <v>1.0</v>
      </c>
      <c r="U57" s="27">
        <v>0.0</v>
      </c>
      <c r="V57" s="27">
        <v>1.0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C57" s="27">
        <v>94.0</v>
      </c>
      <c r="AD57" s="27">
        <f t="shared" ref="AD57:AK57" si="64">T57/$S$1</f>
        <v>0.004166666667</v>
      </c>
      <c r="AE57" s="27">
        <f t="shared" si="64"/>
        <v>0</v>
      </c>
      <c r="AF57" s="27">
        <f t="shared" si="64"/>
        <v>0.004166666667</v>
      </c>
      <c r="AG57" s="27">
        <f t="shared" si="64"/>
        <v>0</v>
      </c>
      <c r="AH57" s="27">
        <f t="shared" si="64"/>
        <v>0</v>
      </c>
      <c r="AI57" s="27">
        <f t="shared" si="64"/>
        <v>0</v>
      </c>
      <c r="AJ57" s="27">
        <f t="shared" si="64"/>
        <v>0</v>
      </c>
      <c r="AK57" s="27">
        <f t="shared" si="64"/>
        <v>0</v>
      </c>
    </row>
    <row r="58" ht="15.75" customHeight="1">
      <c r="A58" s="27">
        <v>57.0</v>
      </c>
      <c r="B58" s="27"/>
      <c r="C58" s="27">
        <f t="shared" si="2"/>
        <v>0</v>
      </c>
      <c r="D58" s="27">
        <v>5.0</v>
      </c>
      <c r="E58" s="27">
        <f t="shared" si="3"/>
        <v>0</v>
      </c>
      <c r="G58" s="27">
        <f t="shared" si="4"/>
        <v>0</v>
      </c>
      <c r="H58" s="27">
        <v>145.0</v>
      </c>
      <c r="I58" s="27">
        <f t="shared" si="5"/>
        <v>0</v>
      </c>
      <c r="J58" s="27">
        <v>50.0</v>
      </c>
      <c r="K58" s="27">
        <f t="shared" si="6"/>
        <v>0</v>
      </c>
      <c r="L58" s="27">
        <v>76.0</v>
      </c>
      <c r="M58" s="27">
        <f t="shared" si="7"/>
        <v>0</v>
      </c>
      <c r="O58" s="27">
        <f t="shared" si="8"/>
        <v>0</v>
      </c>
      <c r="P58" s="27">
        <v>58.0</v>
      </c>
      <c r="Q58" s="27">
        <f t="shared" si="9"/>
        <v>0</v>
      </c>
      <c r="S58" s="27">
        <v>103.0</v>
      </c>
      <c r="T58" s="27">
        <v>1.0</v>
      </c>
      <c r="U58" s="27">
        <v>0.0</v>
      </c>
      <c r="V58" s="27">
        <v>0.0</v>
      </c>
      <c r="W58" s="27">
        <v>0.0</v>
      </c>
      <c r="X58" s="27">
        <v>1.0</v>
      </c>
      <c r="Y58" s="27">
        <v>1.0</v>
      </c>
      <c r="Z58" s="27">
        <v>0.0</v>
      </c>
      <c r="AA58" s="27">
        <v>0.0</v>
      </c>
      <c r="AC58" s="27">
        <v>103.0</v>
      </c>
      <c r="AD58" s="27">
        <f t="shared" ref="AD58:AK58" si="65">T58/$S$1</f>
        <v>0.004166666667</v>
      </c>
      <c r="AE58" s="27">
        <f t="shared" si="65"/>
        <v>0</v>
      </c>
      <c r="AF58" s="27">
        <f t="shared" si="65"/>
        <v>0</v>
      </c>
      <c r="AG58" s="27">
        <f t="shared" si="65"/>
        <v>0</v>
      </c>
      <c r="AH58" s="27">
        <f t="shared" si="65"/>
        <v>0.004166666667</v>
      </c>
      <c r="AI58" s="27">
        <f t="shared" si="65"/>
        <v>0.004166666667</v>
      </c>
      <c r="AJ58" s="27">
        <f t="shared" si="65"/>
        <v>0</v>
      </c>
      <c r="AK58" s="27">
        <f t="shared" si="65"/>
        <v>0</v>
      </c>
    </row>
    <row r="59" ht="15.75" customHeight="1">
      <c r="A59" s="27">
        <v>58.0</v>
      </c>
      <c r="B59" s="27"/>
      <c r="C59" s="27">
        <f t="shared" si="2"/>
        <v>0</v>
      </c>
      <c r="D59" s="27">
        <v>5.0</v>
      </c>
      <c r="E59" s="27">
        <f t="shared" si="3"/>
        <v>0</v>
      </c>
      <c r="G59" s="27">
        <f t="shared" si="4"/>
        <v>0</v>
      </c>
      <c r="H59" s="27">
        <v>148.0</v>
      </c>
      <c r="I59" s="27">
        <f t="shared" si="5"/>
        <v>0</v>
      </c>
      <c r="J59" s="27">
        <v>66.0</v>
      </c>
      <c r="K59" s="27">
        <f t="shared" si="6"/>
        <v>0</v>
      </c>
      <c r="L59" s="27">
        <v>12.0</v>
      </c>
      <c r="M59" s="27">
        <f t="shared" si="7"/>
        <v>0</v>
      </c>
      <c r="O59" s="27">
        <f t="shared" si="8"/>
        <v>0</v>
      </c>
      <c r="P59" s="27">
        <v>25.0</v>
      </c>
      <c r="Q59" s="27">
        <f t="shared" si="9"/>
        <v>0</v>
      </c>
      <c r="S59" s="27">
        <v>104.0</v>
      </c>
      <c r="T59" s="27">
        <v>1.0</v>
      </c>
      <c r="U59" s="27">
        <v>0.0</v>
      </c>
      <c r="V59" s="27">
        <v>0.0</v>
      </c>
      <c r="W59" s="27">
        <v>0.0</v>
      </c>
      <c r="X59" s="27">
        <v>1.0</v>
      </c>
      <c r="Y59" s="27">
        <v>1.0</v>
      </c>
      <c r="Z59" s="27">
        <v>0.0</v>
      </c>
      <c r="AA59" s="27">
        <v>0.0</v>
      </c>
      <c r="AC59" s="27">
        <v>104.0</v>
      </c>
      <c r="AD59" s="27">
        <f t="shared" ref="AD59:AK59" si="66">T59/$S$1</f>
        <v>0.004166666667</v>
      </c>
      <c r="AE59" s="27">
        <f t="shared" si="66"/>
        <v>0</v>
      </c>
      <c r="AF59" s="27">
        <f t="shared" si="66"/>
        <v>0</v>
      </c>
      <c r="AG59" s="27">
        <f t="shared" si="66"/>
        <v>0</v>
      </c>
      <c r="AH59" s="27">
        <f t="shared" si="66"/>
        <v>0.004166666667</v>
      </c>
      <c r="AI59" s="27">
        <f t="shared" si="66"/>
        <v>0.004166666667</v>
      </c>
      <c r="AJ59" s="27">
        <f t="shared" si="66"/>
        <v>0</v>
      </c>
      <c r="AK59" s="27">
        <f t="shared" si="66"/>
        <v>0</v>
      </c>
    </row>
    <row r="60" ht="15.75" customHeight="1">
      <c r="A60" s="27">
        <v>59.0</v>
      </c>
      <c r="B60" s="27"/>
      <c r="C60" s="27">
        <f t="shared" si="2"/>
        <v>0</v>
      </c>
      <c r="D60" s="27">
        <v>19.0</v>
      </c>
      <c r="E60" s="27">
        <f t="shared" si="3"/>
        <v>0</v>
      </c>
      <c r="G60" s="27">
        <f t="shared" si="4"/>
        <v>0</v>
      </c>
      <c r="H60" s="27">
        <v>149.0</v>
      </c>
      <c r="I60" s="27">
        <f t="shared" si="5"/>
        <v>0</v>
      </c>
      <c r="J60" s="27">
        <v>28.0</v>
      </c>
      <c r="K60" s="27">
        <f t="shared" si="6"/>
        <v>0</v>
      </c>
      <c r="L60" s="27">
        <v>70.0</v>
      </c>
      <c r="M60" s="27">
        <f t="shared" si="7"/>
        <v>0</v>
      </c>
      <c r="O60" s="27">
        <f t="shared" si="8"/>
        <v>0</v>
      </c>
      <c r="P60" s="27">
        <v>311.0</v>
      </c>
      <c r="Q60" s="27">
        <f t="shared" si="9"/>
        <v>0</v>
      </c>
      <c r="S60" s="27">
        <v>112.0</v>
      </c>
      <c r="T60" s="27">
        <v>1.0</v>
      </c>
      <c r="U60" s="27">
        <v>1.0</v>
      </c>
      <c r="V60" s="27">
        <v>1.0</v>
      </c>
      <c r="W60" s="27">
        <v>0.0</v>
      </c>
      <c r="X60" s="27">
        <v>1.0</v>
      </c>
      <c r="Y60" s="27">
        <v>0.0</v>
      </c>
      <c r="Z60" s="27">
        <v>0.0</v>
      </c>
      <c r="AA60" s="27">
        <v>0.0</v>
      </c>
      <c r="AC60" s="27">
        <v>112.0</v>
      </c>
      <c r="AD60" s="27">
        <f t="shared" ref="AD60:AK60" si="67">T60/$S$1</f>
        <v>0.004166666667</v>
      </c>
      <c r="AE60" s="27">
        <f t="shared" si="67"/>
        <v>0.004166666667</v>
      </c>
      <c r="AF60" s="27">
        <f t="shared" si="67"/>
        <v>0.004166666667</v>
      </c>
      <c r="AG60" s="27">
        <f t="shared" si="67"/>
        <v>0</v>
      </c>
      <c r="AH60" s="27">
        <f t="shared" si="67"/>
        <v>0.004166666667</v>
      </c>
      <c r="AI60" s="27">
        <f t="shared" si="67"/>
        <v>0</v>
      </c>
      <c r="AJ60" s="27">
        <f t="shared" si="67"/>
        <v>0</v>
      </c>
      <c r="AK60" s="27">
        <f t="shared" si="67"/>
        <v>0</v>
      </c>
    </row>
    <row r="61" ht="15.75" customHeight="1">
      <c r="A61" s="27">
        <v>25.0</v>
      </c>
      <c r="B61" s="27"/>
      <c r="C61" s="27">
        <f t="shared" si="2"/>
        <v>0</v>
      </c>
      <c r="D61" s="27">
        <v>43.0</v>
      </c>
      <c r="E61" s="27">
        <f t="shared" si="3"/>
        <v>0</v>
      </c>
      <c r="G61" s="27">
        <f t="shared" si="4"/>
        <v>0</v>
      </c>
      <c r="H61" s="27">
        <v>150.0</v>
      </c>
      <c r="I61" s="27">
        <f t="shared" si="5"/>
        <v>0</v>
      </c>
      <c r="J61" s="27">
        <v>94.0</v>
      </c>
      <c r="K61" s="27">
        <f t="shared" si="6"/>
        <v>0</v>
      </c>
      <c r="L61" s="27">
        <v>23.0</v>
      </c>
      <c r="M61" s="27">
        <f t="shared" si="7"/>
        <v>0</v>
      </c>
      <c r="O61" s="27">
        <f t="shared" si="8"/>
        <v>0</v>
      </c>
      <c r="P61" s="27">
        <v>313.0</v>
      </c>
      <c r="Q61" s="27">
        <f t="shared" si="9"/>
        <v>0</v>
      </c>
      <c r="S61" s="27">
        <v>113.0</v>
      </c>
      <c r="T61" s="27">
        <v>1.0</v>
      </c>
      <c r="U61" s="27">
        <v>0.0</v>
      </c>
      <c r="V61" s="27">
        <v>0.0</v>
      </c>
      <c r="W61" s="27">
        <v>0.0</v>
      </c>
      <c r="X61" s="27">
        <v>1.0</v>
      </c>
      <c r="Y61" s="27">
        <v>0.0</v>
      </c>
      <c r="Z61" s="27">
        <v>0.0</v>
      </c>
      <c r="AA61" s="27">
        <v>0.0</v>
      </c>
      <c r="AC61" s="27">
        <v>113.0</v>
      </c>
      <c r="AD61" s="27">
        <f t="shared" ref="AD61:AK61" si="68">T61/$S$1</f>
        <v>0.004166666667</v>
      </c>
      <c r="AE61" s="27">
        <f t="shared" si="68"/>
        <v>0</v>
      </c>
      <c r="AF61" s="27">
        <f t="shared" si="68"/>
        <v>0</v>
      </c>
      <c r="AG61" s="27">
        <f t="shared" si="68"/>
        <v>0</v>
      </c>
      <c r="AH61" s="27">
        <f t="shared" si="68"/>
        <v>0.004166666667</v>
      </c>
      <c r="AI61" s="27">
        <f t="shared" si="68"/>
        <v>0</v>
      </c>
      <c r="AJ61" s="27">
        <f t="shared" si="68"/>
        <v>0</v>
      </c>
      <c r="AK61" s="27">
        <f t="shared" si="68"/>
        <v>0</v>
      </c>
    </row>
    <row r="62" ht="15.75" customHeight="1">
      <c r="A62" s="27">
        <v>12.0</v>
      </c>
      <c r="B62" s="27"/>
      <c r="C62" s="27">
        <f t="shared" si="2"/>
        <v>0</v>
      </c>
      <c r="D62" s="27">
        <v>118.0</v>
      </c>
      <c r="E62" s="27">
        <f t="shared" si="3"/>
        <v>0</v>
      </c>
      <c r="G62" s="27">
        <f t="shared" si="4"/>
        <v>0</v>
      </c>
      <c r="H62" s="27">
        <v>17.0</v>
      </c>
      <c r="I62" s="27">
        <f t="shared" si="5"/>
        <v>0</v>
      </c>
      <c r="J62" s="27">
        <v>25.0</v>
      </c>
      <c r="K62" s="27">
        <f t="shared" si="6"/>
        <v>0</v>
      </c>
      <c r="L62" s="27">
        <v>83.0</v>
      </c>
      <c r="M62" s="27">
        <f t="shared" si="7"/>
        <v>0</v>
      </c>
      <c r="O62" s="27">
        <f t="shared" si="8"/>
        <v>0</v>
      </c>
      <c r="P62" s="27">
        <v>52.0</v>
      </c>
      <c r="Q62" s="27">
        <f t="shared" si="9"/>
        <v>0</v>
      </c>
      <c r="S62" s="27">
        <v>115.0</v>
      </c>
      <c r="T62" s="27">
        <v>1.0</v>
      </c>
      <c r="U62" s="27">
        <v>0.0</v>
      </c>
      <c r="V62" s="27">
        <v>0.0</v>
      </c>
      <c r="W62" s="27">
        <v>0.0</v>
      </c>
      <c r="X62" s="27">
        <v>1.0</v>
      </c>
      <c r="Y62" s="27">
        <v>0.0</v>
      </c>
      <c r="Z62" s="27">
        <v>0.0</v>
      </c>
      <c r="AA62" s="27">
        <v>0.0</v>
      </c>
      <c r="AC62" s="27">
        <v>115.0</v>
      </c>
      <c r="AD62" s="27">
        <f t="shared" ref="AD62:AK62" si="69">T62/$S$1</f>
        <v>0.004166666667</v>
      </c>
      <c r="AE62" s="27">
        <f t="shared" si="69"/>
        <v>0</v>
      </c>
      <c r="AF62" s="27">
        <f t="shared" si="69"/>
        <v>0</v>
      </c>
      <c r="AG62" s="27">
        <f t="shared" si="69"/>
        <v>0</v>
      </c>
      <c r="AH62" s="27">
        <f t="shared" si="69"/>
        <v>0.004166666667</v>
      </c>
      <c r="AI62" s="27">
        <f t="shared" si="69"/>
        <v>0</v>
      </c>
      <c r="AJ62" s="27">
        <f t="shared" si="69"/>
        <v>0</v>
      </c>
      <c r="AK62" s="27">
        <f t="shared" si="69"/>
        <v>0</v>
      </c>
    </row>
    <row r="63" ht="15.75" customHeight="1">
      <c r="A63" s="27">
        <v>62.0</v>
      </c>
      <c r="B63" s="27"/>
      <c r="C63" s="27">
        <f t="shared" si="2"/>
        <v>0</v>
      </c>
      <c r="D63" s="27">
        <v>43.0</v>
      </c>
      <c r="E63" s="27">
        <f t="shared" si="3"/>
        <v>0</v>
      </c>
      <c r="G63" s="27">
        <f t="shared" si="4"/>
        <v>0</v>
      </c>
      <c r="H63" s="27">
        <v>52.0</v>
      </c>
      <c r="I63" s="27">
        <f t="shared" si="5"/>
        <v>0</v>
      </c>
      <c r="J63" s="27">
        <v>12.0</v>
      </c>
      <c r="K63" s="27">
        <f t="shared" si="6"/>
        <v>0</v>
      </c>
      <c r="L63" s="27">
        <v>85.0</v>
      </c>
      <c r="M63" s="27">
        <f t="shared" si="7"/>
        <v>0</v>
      </c>
      <c r="O63" s="27">
        <f t="shared" si="8"/>
        <v>0</v>
      </c>
      <c r="P63" s="27">
        <v>74.0</v>
      </c>
      <c r="Q63" s="27">
        <f t="shared" si="9"/>
        <v>0</v>
      </c>
      <c r="S63" s="27">
        <v>116.0</v>
      </c>
      <c r="T63" s="27">
        <v>7.0</v>
      </c>
      <c r="U63" s="27">
        <v>0.0</v>
      </c>
      <c r="V63" s="27">
        <v>7.0</v>
      </c>
      <c r="W63" s="27">
        <v>0.0</v>
      </c>
      <c r="X63" s="27">
        <v>6.0</v>
      </c>
      <c r="Y63" s="27">
        <v>0.0</v>
      </c>
      <c r="Z63" s="27">
        <v>0.0</v>
      </c>
      <c r="AA63" s="27">
        <v>0.0</v>
      </c>
      <c r="AC63" s="27">
        <v>116.0</v>
      </c>
      <c r="AD63" s="27">
        <f t="shared" ref="AD63:AK63" si="70">T63/$S$1</f>
        <v>0.02916666667</v>
      </c>
      <c r="AE63" s="27">
        <f t="shared" si="70"/>
        <v>0</v>
      </c>
      <c r="AF63" s="27">
        <f t="shared" si="70"/>
        <v>0.02916666667</v>
      </c>
      <c r="AG63" s="27">
        <f t="shared" si="70"/>
        <v>0</v>
      </c>
      <c r="AH63" s="27">
        <f t="shared" si="70"/>
        <v>0.025</v>
      </c>
      <c r="AI63" s="27">
        <f t="shared" si="70"/>
        <v>0</v>
      </c>
      <c r="AJ63" s="27">
        <f t="shared" si="70"/>
        <v>0</v>
      </c>
      <c r="AK63" s="27">
        <f t="shared" si="70"/>
        <v>0</v>
      </c>
    </row>
    <row r="64" ht="15.75" customHeight="1">
      <c r="A64" s="27">
        <v>25.0</v>
      </c>
      <c r="B64" s="27"/>
      <c r="C64" s="27">
        <f t="shared" si="2"/>
        <v>0</v>
      </c>
      <c r="D64" s="27">
        <v>120.0</v>
      </c>
      <c r="E64" s="27">
        <f t="shared" si="3"/>
        <v>0</v>
      </c>
      <c r="G64" s="27">
        <f t="shared" si="4"/>
        <v>0</v>
      </c>
      <c r="H64" s="27">
        <v>25.0</v>
      </c>
      <c r="I64" s="27">
        <f t="shared" si="5"/>
        <v>0</v>
      </c>
      <c r="J64" s="27">
        <v>25.0</v>
      </c>
      <c r="K64" s="27">
        <f t="shared" si="6"/>
        <v>0</v>
      </c>
      <c r="L64" s="27">
        <v>86.0</v>
      </c>
      <c r="M64" s="27">
        <f t="shared" si="7"/>
        <v>0</v>
      </c>
      <c r="O64" s="27">
        <f t="shared" si="8"/>
        <v>0</v>
      </c>
      <c r="P64" s="27">
        <v>325.0</v>
      </c>
      <c r="Q64" s="27">
        <f t="shared" si="9"/>
        <v>0</v>
      </c>
      <c r="S64" s="27">
        <v>118.0</v>
      </c>
      <c r="T64" s="27">
        <v>5.0</v>
      </c>
      <c r="U64" s="27">
        <v>0.0</v>
      </c>
      <c r="V64" s="27">
        <v>0.0</v>
      </c>
      <c r="W64" s="27">
        <v>0.0</v>
      </c>
      <c r="X64" s="27">
        <v>4.0</v>
      </c>
      <c r="Y64" s="27">
        <v>5.0</v>
      </c>
      <c r="Z64" s="27">
        <v>0.0</v>
      </c>
      <c r="AA64" s="27">
        <v>0.0</v>
      </c>
      <c r="AC64" s="27">
        <v>118.0</v>
      </c>
      <c r="AD64" s="27">
        <f t="shared" ref="AD64:AK64" si="71">T64/$S$1</f>
        <v>0.02083333333</v>
      </c>
      <c r="AE64" s="27">
        <f t="shared" si="71"/>
        <v>0</v>
      </c>
      <c r="AF64" s="27">
        <f t="shared" si="71"/>
        <v>0</v>
      </c>
      <c r="AG64" s="27">
        <f t="shared" si="71"/>
        <v>0</v>
      </c>
      <c r="AH64" s="27">
        <f t="shared" si="71"/>
        <v>0.01666666667</v>
      </c>
      <c r="AI64" s="27">
        <f t="shared" si="71"/>
        <v>0.02083333333</v>
      </c>
      <c r="AJ64" s="27">
        <f t="shared" si="71"/>
        <v>0</v>
      </c>
      <c r="AK64" s="27">
        <f t="shared" si="71"/>
        <v>0</v>
      </c>
    </row>
    <row r="65" ht="15.75" customHeight="1">
      <c r="A65" s="27">
        <v>64.0</v>
      </c>
      <c r="B65" s="27"/>
      <c r="C65" s="27">
        <f t="shared" si="2"/>
        <v>0</v>
      </c>
      <c r="D65" s="27">
        <v>120.0</v>
      </c>
      <c r="E65" s="27">
        <f t="shared" si="3"/>
        <v>0</v>
      </c>
      <c r="G65" s="27">
        <f t="shared" si="4"/>
        <v>0</v>
      </c>
      <c r="H65" s="27">
        <v>24.0</v>
      </c>
      <c r="I65" s="27">
        <f t="shared" si="5"/>
        <v>0</v>
      </c>
      <c r="J65" s="27">
        <v>66.0</v>
      </c>
      <c r="K65" s="27">
        <f t="shared" si="6"/>
        <v>0</v>
      </c>
      <c r="L65" s="27">
        <v>87.0</v>
      </c>
      <c r="M65" s="27">
        <f t="shared" si="7"/>
        <v>0</v>
      </c>
      <c r="O65" s="27">
        <f t="shared" si="8"/>
        <v>0</v>
      </c>
      <c r="P65" s="27">
        <v>332.0</v>
      </c>
      <c r="Q65" s="27">
        <f t="shared" si="9"/>
        <v>0</v>
      </c>
      <c r="S65" s="27">
        <v>120.0</v>
      </c>
      <c r="T65" s="27">
        <v>15.0</v>
      </c>
      <c r="U65" s="27">
        <v>2.0</v>
      </c>
      <c r="V65" s="27">
        <v>4.0</v>
      </c>
      <c r="W65" s="27">
        <v>0.0</v>
      </c>
      <c r="X65" s="27">
        <v>11.0</v>
      </c>
      <c r="Y65" s="27">
        <v>15.0</v>
      </c>
      <c r="Z65" s="27">
        <v>1.0</v>
      </c>
      <c r="AA65" s="27">
        <v>9.0</v>
      </c>
      <c r="AC65" s="27">
        <v>120.0</v>
      </c>
      <c r="AD65" s="27">
        <f t="shared" ref="AD65:AK65" si="72">T65/$S$1</f>
        <v>0.0625</v>
      </c>
      <c r="AE65" s="27">
        <f t="shared" si="72"/>
        <v>0.008333333333</v>
      </c>
      <c r="AF65" s="27">
        <f t="shared" si="72"/>
        <v>0.01666666667</v>
      </c>
      <c r="AG65" s="27">
        <f t="shared" si="72"/>
        <v>0</v>
      </c>
      <c r="AH65" s="27">
        <f t="shared" si="72"/>
        <v>0.04583333333</v>
      </c>
      <c r="AI65" s="27">
        <f t="shared" si="72"/>
        <v>0.0625</v>
      </c>
      <c r="AJ65" s="27">
        <f t="shared" si="72"/>
        <v>0.004166666667</v>
      </c>
      <c r="AK65" s="27">
        <f t="shared" si="72"/>
        <v>0.0375</v>
      </c>
    </row>
    <row r="66" ht="15.75" customHeight="1">
      <c r="A66" s="27">
        <v>65.0</v>
      </c>
      <c r="B66" s="27"/>
      <c r="C66" s="27">
        <f t="shared" si="2"/>
        <v>0</v>
      </c>
      <c r="D66" s="27">
        <v>120.0</v>
      </c>
      <c r="E66" s="27">
        <f t="shared" si="3"/>
        <v>0</v>
      </c>
      <c r="G66" s="27">
        <f t="shared" si="4"/>
        <v>0</v>
      </c>
      <c r="H66" s="27">
        <v>24.0</v>
      </c>
      <c r="I66" s="27">
        <f t="shared" si="5"/>
        <v>0</v>
      </c>
      <c r="J66" s="27">
        <v>25.0</v>
      </c>
      <c r="K66" s="27">
        <f t="shared" si="6"/>
        <v>0</v>
      </c>
      <c r="L66" s="27">
        <v>57.0</v>
      </c>
      <c r="M66" s="27">
        <f t="shared" si="7"/>
        <v>0</v>
      </c>
      <c r="O66" s="27">
        <f t="shared" si="8"/>
        <v>0</v>
      </c>
      <c r="P66" s="27">
        <v>340.0</v>
      </c>
      <c r="Q66" s="27">
        <f t="shared" si="9"/>
        <v>0</v>
      </c>
      <c r="S66" s="27">
        <v>123.0</v>
      </c>
      <c r="T66" s="27">
        <v>1.0</v>
      </c>
      <c r="U66" s="27">
        <v>1.0</v>
      </c>
      <c r="V66" s="27">
        <v>1.0</v>
      </c>
      <c r="W66" s="27">
        <v>0.0</v>
      </c>
      <c r="X66" s="27">
        <v>1.0</v>
      </c>
      <c r="Y66" s="27">
        <v>1.0</v>
      </c>
      <c r="Z66" s="27">
        <v>1.0</v>
      </c>
      <c r="AA66" s="27">
        <v>1.0</v>
      </c>
      <c r="AC66" s="27">
        <v>123.0</v>
      </c>
      <c r="AD66" s="27">
        <f t="shared" ref="AD66:AK66" si="73">T66/$S$1</f>
        <v>0.004166666667</v>
      </c>
      <c r="AE66" s="27">
        <f t="shared" si="73"/>
        <v>0.004166666667</v>
      </c>
      <c r="AF66" s="27">
        <f t="shared" si="73"/>
        <v>0.004166666667</v>
      </c>
      <c r="AG66" s="27">
        <f t="shared" si="73"/>
        <v>0</v>
      </c>
      <c r="AH66" s="27">
        <f t="shared" si="73"/>
        <v>0.004166666667</v>
      </c>
      <c r="AI66" s="27">
        <f t="shared" si="73"/>
        <v>0.004166666667</v>
      </c>
      <c r="AJ66" s="27">
        <f t="shared" si="73"/>
        <v>0.004166666667</v>
      </c>
      <c r="AK66" s="27">
        <f t="shared" si="73"/>
        <v>0.004166666667</v>
      </c>
    </row>
    <row r="67" ht="15.75" customHeight="1">
      <c r="A67" s="27">
        <v>66.0</v>
      </c>
      <c r="B67" s="27"/>
      <c r="C67" s="27">
        <f t="shared" si="2"/>
        <v>0</v>
      </c>
      <c r="D67" s="27">
        <v>123.0</v>
      </c>
      <c r="E67" s="27">
        <f t="shared" si="3"/>
        <v>0</v>
      </c>
      <c r="G67" s="27">
        <f t="shared" si="4"/>
        <v>0</v>
      </c>
      <c r="H67" s="27">
        <v>25.0</v>
      </c>
      <c r="I67" s="27">
        <f t="shared" si="5"/>
        <v>0</v>
      </c>
      <c r="J67" s="27">
        <v>2.0</v>
      </c>
      <c r="K67" s="27">
        <f t="shared" si="6"/>
        <v>0</v>
      </c>
      <c r="L67" s="27">
        <v>66.0</v>
      </c>
      <c r="M67" s="27">
        <f t="shared" si="7"/>
        <v>0</v>
      </c>
      <c r="O67" s="27">
        <f t="shared" si="8"/>
        <v>0</v>
      </c>
      <c r="P67" s="27">
        <v>120.0</v>
      </c>
      <c r="Q67" s="27">
        <f t="shared" si="9"/>
        <v>0</v>
      </c>
      <c r="S67" s="27">
        <v>125.0</v>
      </c>
      <c r="T67" s="27">
        <v>1.0</v>
      </c>
      <c r="U67" s="27">
        <v>1.0</v>
      </c>
      <c r="V67" s="27">
        <v>1.0</v>
      </c>
      <c r="W67" s="27">
        <v>0.0</v>
      </c>
      <c r="X67" s="27">
        <v>1.0</v>
      </c>
      <c r="Y67" s="27">
        <v>1.0</v>
      </c>
      <c r="Z67" s="27">
        <v>1.0</v>
      </c>
      <c r="AA67" s="27">
        <v>1.0</v>
      </c>
      <c r="AC67" s="27">
        <v>125.0</v>
      </c>
      <c r="AD67" s="27">
        <f t="shared" ref="AD67:AK67" si="74">T67/$S$1</f>
        <v>0.004166666667</v>
      </c>
      <c r="AE67" s="27">
        <f t="shared" si="74"/>
        <v>0.004166666667</v>
      </c>
      <c r="AF67" s="27">
        <f t="shared" si="74"/>
        <v>0.004166666667</v>
      </c>
      <c r="AG67" s="27">
        <f t="shared" si="74"/>
        <v>0</v>
      </c>
      <c r="AH67" s="27">
        <f t="shared" si="74"/>
        <v>0.004166666667</v>
      </c>
      <c r="AI67" s="27">
        <f t="shared" si="74"/>
        <v>0.004166666667</v>
      </c>
      <c r="AJ67" s="27">
        <f t="shared" si="74"/>
        <v>0.004166666667</v>
      </c>
      <c r="AK67" s="27">
        <f t="shared" si="74"/>
        <v>0.004166666667</v>
      </c>
    </row>
    <row r="68" ht="15.75" customHeight="1">
      <c r="A68" s="27">
        <v>24.0</v>
      </c>
      <c r="B68" s="27"/>
      <c r="C68" s="27">
        <f t="shared" si="2"/>
        <v>0</v>
      </c>
      <c r="D68" s="27">
        <v>120.0</v>
      </c>
      <c r="E68" s="27">
        <f t="shared" si="3"/>
        <v>0</v>
      </c>
      <c r="G68" s="27">
        <f t="shared" si="4"/>
        <v>0</v>
      </c>
      <c r="H68" s="27">
        <v>180.0</v>
      </c>
      <c r="I68" s="27">
        <f t="shared" si="5"/>
        <v>0</v>
      </c>
      <c r="J68" s="27">
        <v>112.0</v>
      </c>
      <c r="K68" s="27">
        <f t="shared" si="6"/>
        <v>0</v>
      </c>
      <c r="L68" s="27">
        <v>28.0</v>
      </c>
      <c r="M68" s="27">
        <f t="shared" si="7"/>
        <v>0</v>
      </c>
      <c r="O68" s="27">
        <f t="shared" si="8"/>
        <v>0</v>
      </c>
      <c r="P68" s="27">
        <v>362.0</v>
      </c>
      <c r="Q68" s="27">
        <f t="shared" si="9"/>
        <v>0</v>
      </c>
      <c r="S68" s="27">
        <v>127.0</v>
      </c>
      <c r="T68" s="27">
        <v>15.0</v>
      </c>
      <c r="U68" s="27">
        <v>2.0</v>
      </c>
      <c r="V68" s="27">
        <v>1.0</v>
      </c>
      <c r="W68" s="27">
        <v>0.0</v>
      </c>
      <c r="X68" s="27">
        <v>5.0</v>
      </c>
      <c r="Y68" s="27">
        <v>2.0</v>
      </c>
      <c r="Z68" s="27">
        <v>0.0</v>
      </c>
      <c r="AA68" s="27">
        <v>0.0</v>
      </c>
      <c r="AC68" s="27">
        <v>127.0</v>
      </c>
      <c r="AD68" s="27">
        <f t="shared" ref="AD68:AK68" si="75">T68/$S$1</f>
        <v>0.0625</v>
      </c>
      <c r="AE68" s="27">
        <f t="shared" si="75"/>
        <v>0.008333333333</v>
      </c>
      <c r="AF68" s="27">
        <f t="shared" si="75"/>
        <v>0.004166666667</v>
      </c>
      <c r="AG68" s="27">
        <f t="shared" si="75"/>
        <v>0</v>
      </c>
      <c r="AH68" s="27">
        <f t="shared" si="75"/>
        <v>0.02083333333</v>
      </c>
      <c r="AI68" s="27">
        <f t="shared" si="75"/>
        <v>0.008333333333</v>
      </c>
      <c r="AJ68" s="27">
        <f t="shared" si="75"/>
        <v>0</v>
      </c>
      <c r="AK68" s="27">
        <f t="shared" si="75"/>
        <v>0</v>
      </c>
    </row>
    <row r="69" ht="15.75" customHeight="1">
      <c r="A69" s="27">
        <v>68.0</v>
      </c>
      <c r="B69" s="27"/>
      <c r="C69" s="27">
        <f t="shared" si="2"/>
        <v>0</v>
      </c>
      <c r="D69" s="27">
        <v>125.0</v>
      </c>
      <c r="E69" s="27">
        <f t="shared" si="3"/>
        <v>0</v>
      </c>
      <c r="G69" s="27">
        <f t="shared" si="4"/>
        <v>0</v>
      </c>
      <c r="H69" s="27">
        <v>43.0</v>
      </c>
      <c r="I69" s="27">
        <f t="shared" si="5"/>
        <v>0</v>
      </c>
      <c r="J69" s="27">
        <v>116.0</v>
      </c>
      <c r="K69" s="27">
        <f t="shared" si="6"/>
        <v>0</v>
      </c>
      <c r="L69" s="27">
        <v>74.0</v>
      </c>
      <c r="M69" s="27">
        <f t="shared" si="7"/>
        <v>0</v>
      </c>
      <c r="O69" s="27">
        <f t="shared" si="8"/>
        <v>0</v>
      </c>
      <c r="P69" s="27">
        <v>363.0</v>
      </c>
      <c r="Q69" s="27">
        <f t="shared" si="9"/>
        <v>0</v>
      </c>
      <c r="S69" s="27">
        <v>129.0</v>
      </c>
      <c r="T69" s="27">
        <v>1.0</v>
      </c>
      <c r="U69" s="27">
        <v>0.0</v>
      </c>
      <c r="V69" s="27">
        <v>0.0</v>
      </c>
      <c r="W69" s="27">
        <v>0.0</v>
      </c>
      <c r="X69" s="27">
        <v>0.0</v>
      </c>
      <c r="Y69" s="27">
        <v>0.0</v>
      </c>
      <c r="Z69" s="27">
        <v>0.0</v>
      </c>
      <c r="AA69" s="27">
        <v>0.0</v>
      </c>
      <c r="AC69" s="27">
        <v>129.0</v>
      </c>
      <c r="AD69" s="27">
        <f t="shared" ref="AD69:AK69" si="76">T69/$S$1</f>
        <v>0.004166666667</v>
      </c>
      <c r="AE69" s="27">
        <f t="shared" si="76"/>
        <v>0</v>
      </c>
      <c r="AF69" s="27">
        <f t="shared" si="76"/>
        <v>0</v>
      </c>
      <c r="AG69" s="27">
        <f t="shared" si="76"/>
        <v>0</v>
      </c>
      <c r="AH69" s="27">
        <f t="shared" si="76"/>
        <v>0</v>
      </c>
      <c r="AI69" s="27">
        <f t="shared" si="76"/>
        <v>0</v>
      </c>
      <c r="AJ69" s="27">
        <f t="shared" si="76"/>
        <v>0</v>
      </c>
      <c r="AK69" s="27">
        <f t="shared" si="76"/>
        <v>0</v>
      </c>
    </row>
    <row r="70" ht="15.75" customHeight="1">
      <c r="A70" s="27">
        <v>3.0</v>
      </c>
      <c r="B70" s="27"/>
      <c r="C70" s="27">
        <f t="shared" si="2"/>
        <v>0</v>
      </c>
      <c r="D70" s="27">
        <v>120.0</v>
      </c>
      <c r="E70" s="27">
        <f t="shared" si="3"/>
        <v>0</v>
      </c>
      <c r="G70" s="27">
        <f t="shared" si="4"/>
        <v>0</v>
      </c>
      <c r="H70" s="27">
        <v>43.0</v>
      </c>
      <c r="I70" s="27">
        <f t="shared" si="5"/>
        <v>0</v>
      </c>
      <c r="J70" s="27">
        <v>120.0</v>
      </c>
      <c r="K70" s="27">
        <f t="shared" si="6"/>
        <v>0</v>
      </c>
      <c r="L70" s="27">
        <v>2.0</v>
      </c>
      <c r="M70" s="27">
        <f t="shared" si="7"/>
        <v>0</v>
      </c>
      <c r="O70" s="27">
        <f t="shared" si="8"/>
        <v>0</v>
      </c>
      <c r="P70" s="27">
        <v>340.0</v>
      </c>
      <c r="Q70" s="27">
        <f t="shared" si="9"/>
        <v>0</v>
      </c>
      <c r="S70" s="27">
        <v>130.0</v>
      </c>
      <c r="T70" s="27">
        <v>2.0</v>
      </c>
      <c r="U70" s="27">
        <v>1.0</v>
      </c>
      <c r="V70" s="27">
        <v>1.0</v>
      </c>
      <c r="W70" s="27">
        <v>0.0</v>
      </c>
      <c r="X70" s="27">
        <v>1.0</v>
      </c>
      <c r="Y70" s="27">
        <v>2.0</v>
      </c>
      <c r="Z70" s="27">
        <v>1.0</v>
      </c>
      <c r="AA70" s="27">
        <v>1.0</v>
      </c>
      <c r="AC70" s="27">
        <v>130.0</v>
      </c>
      <c r="AD70" s="27">
        <f t="shared" ref="AD70:AK70" si="77">T70/$S$1</f>
        <v>0.008333333333</v>
      </c>
      <c r="AE70" s="27">
        <f t="shared" si="77"/>
        <v>0.004166666667</v>
      </c>
      <c r="AF70" s="27">
        <f t="shared" si="77"/>
        <v>0.004166666667</v>
      </c>
      <c r="AG70" s="27">
        <f t="shared" si="77"/>
        <v>0</v>
      </c>
      <c r="AH70" s="27">
        <f t="shared" si="77"/>
        <v>0.004166666667</v>
      </c>
      <c r="AI70" s="27">
        <f t="shared" si="77"/>
        <v>0.008333333333</v>
      </c>
      <c r="AJ70" s="27">
        <f t="shared" si="77"/>
        <v>0.004166666667</v>
      </c>
      <c r="AK70" s="27">
        <f t="shared" si="77"/>
        <v>0.004166666667</v>
      </c>
    </row>
    <row r="71" ht="15.75" customHeight="1">
      <c r="A71" s="27">
        <v>70.0</v>
      </c>
      <c r="B71" s="27"/>
      <c r="C71" s="27">
        <f t="shared" si="2"/>
        <v>0</v>
      </c>
      <c r="D71" s="27">
        <v>127.0</v>
      </c>
      <c r="E71" s="27">
        <f t="shared" si="3"/>
        <v>0</v>
      </c>
      <c r="G71" s="27">
        <f t="shared" si="4"/>
        <v>0</v>
      </c>
      <c r="H71" s="27">
        <v>43.0</v>
      </c>
      <c r="I71" s="27">
        <f t="shared" si="5"/>
        <v>0</v>
      </c>
      <c r="J71" s="27">
        <v>120.0</v>
      </c>
      <c r="K71" s="27">
        <f t="shared" si="6"/>
        <v>0</v>
      </c>
      <c r="L71" s="27">
        <v>25.0</v>
      </c>
      <c r="M71" s="27">
        <f t="shared" si="7"/>
        <v>0</v>
      </c>
      <c r="O71" s="27">
        <f t="shared" si="8"/>
        <v>0</v>
      </c>
      <c r="P71" s="27">
        <v>58.0</v>
      </c>
      <c r="Q71" s="27">
        <f t="shared" si="9"/>
        <v>0</v>
      </c>
      <c r="S71" s="27">
        <v>132.0</v>
      </c>
      <c r="T71" s="27">
        <v>2.0</v>
      </c>
      <c r="U71" s="27">
        <v>2.0</v>
      </c>
      <c r="V71" s="27">
        <v>2.0</v>
      </c>
      <c r="W71" s="27">
        <v>0.0</v>
      </c>
      <c r="X71" s="27">
        <v>2.0</v>
      </c>
      <c r="Y71" s="27">
        <v>2.0</v>
      </c>
      <c r="Z71" s="27">
        <v>1.0</v>
      </c>
      <c r="AA71" s="27">
        <v>0.0</v>
      </c>
      <c r="AC71" s="27">
        <v>132.0</v>
      </c>
      <c r="AD71" s="27">
        <f t="shared" ref="AD71:AK71" si="78">T71/$S$1</f>
        <v>0.008333333333</v>
      </c>
      <c r="AE71" s="27">
        <f t="shared" si="78"/>
        <v>0.008333333333</v>
      </c>
      <c r="AF71" s="27">
        <f t="shared" si="78"/>
        <v>0.008333333333</v>
      </c>
      <c r="AG71" s="27">
        <f t="shared" si="78"/>
        <v>0</v>
      </c>
      <c r="AH71" s="27">
        <f t="shared" si="78"/>
        <v>0.008333333333</v>
      </c>
      <c r="AI71" s="27">
        <f t="shared" si="78"/>
        <v>0.008333333333</v>
      </c>
      <c r="AJ71" s="27">
        <f t="shared" si="78"/>
        <v>0.004166666667</v>
      </c>
      <c r="AK71" s="27">
        <f t="shared" si="78"/>
        <v>0</v>
      </c>
    </row>
    <row r="72" ht="15.75" customHeight="1">
      <c r="A72" s="27">
        <v>19.0</v>
      </c>
      <c r="B72" s="27"/>
      <c r="C72" s="27">
        <f t="shared" si="2"/>
        <v>0</v>
      </c>
      <c r="D72" s="27">
        <v>130.0</v>
      </c>
      <c r="E72" s="27">
        <f t="shared" si="3"/>
        <v>0</v>
      </c>
      <c r="G72" s="27">
        <f t="shared" si="4"/>
        <v>0</v>
      </c>
      <c r="H72" s="27">
        <v>24.0</v>
      </c>
      <c r="I72" s="27">
        <f t="shared" si="5"/>
        <v>0</v>
      </c>
      <c r="J72" s="27">
        <v>123.0</v>
      </c>
      <c r="K72" s="27">
        <f t="shared" si="6"/>
        <v>0</v>
      </c>
      <c r="L72" s="27">
        <v>12.0</v>
      </c>
      <c r="M72" s="27">
        <f t="shared" si="7"/>
        <v>0</v>
      </c>
      <c r="O72" s="27">
        <f t="shared" si="8"/>
        <v>0</v>
      </c>
      <c r="P72" s="27">
        <v>252.0</v>
      </c>
      <c r="Q72" s="27">
        <f t="shared" si="9"/>
        <v>0</v>
      </c>
      <c r="S72" s="27">
        <v>133.0</v>
      </c>
      <c r="T72" s="27">
        <v>1.0</v>
      </c>
      <c r="U72" s="27">
        <v>1.0</v>
      </c>
      <c r="V72" s="27">
        <v>1.0</v>
      </c>
      <c r="W72" s="27">
        <v>0.0</v>
      </c>
      <c r="X72" s="27">
        <v>1.0</v>
      </c>
      <c r="Y72" s="27">
        <v>1.0</v>
      </c>
      <c r="Z72" s="27">
        <v>1.0</v>
      </c>
      <c r="AA72" s="27">
        <v>1.0</v>
      </c>
      <c r="AC72" s="27">
        <v>133.0</v>
      </c>
      <c r="AD72" s="27">
        <f t="shared" ref="AD72:AK72" si="79">T72/$S$1</f>
        <v>0.004166666667</v>
      </c>
      <c r="AE72" s="27">
        <f t="shared" si="79"/>
        <v>0.004166666667</v>
      </c>
      <c r="AF72" s="27">
        <f t="shared" si="79"/>
        <v>0.004166666667</v>
      </c>
      <c r="AG72" s="27">
        <f t="shared" si="79"/>
        <v>0</v>
      </c>
      <c r="AH72" s="27">
        <f t="shared" si="79"/>
        <v>0.004166666667</v>
      </c>
      <c r="AI72" s="27">
        <f t="shared" si="79"/>
        <v>0.004166666667</v>
      </c>
      <c r="AJ72" s="27">
        <f t="shared" si="79"/>
        <v>0.004166666667</v>
      </c>
      <c r="AK72" s="27">
        <f t="shared" si="79"/>
        <v>0.004166666667</v>
      </c>
    </row>
    <row r="73" ht="15.75" customHeight="1">
      <c r="A73" s="27">
        <v>66.0</v>
      </c>
      <c r="B73" s="27"/>
      <c r="C73" s="27">
        <f t="shared" si="2"/>
        <v>0</v>
      </c>
      <c r="D73" s="27">
        <v>132.0</v>
      </c>
      <c r="E73" s="27">
        <f t="shared" si="3"/>
        <v>0</v>
      </c>
      <c r="G73" s="27">
        <f t="shared" si="4"/>
        <v>0</v>
      </c>
      <c r="H73" s="27">
        <v>145.0</v>
      </c>
      <c r="I73" s="27">
        <f t="shared" si="5"/>
        <v>0</v>
      </c>
      <c r="J73" s="27">
        <v>125.0</v>
      </c>
      <c r="K73" s="27">
        <f t="shared" si="6"/>
        <v>0</v>
      </c>
      <c r="L73" s="27">
        <v>19.0</v>
      </c>
      <c r="M73" s="27">
        <f t="shared" si="7"/>
        <v>0</v>
      </c>
      <c r="O73" s="27">
        <f t="shared" si="8"/>
        <v>0</v>
      </c>
      <c r="P73" s="27">
        <v>340.0</v>
      </c>
      <c r="Q73" s="27">
        <f t="shared" si="9"/>
        <v>0</v>
      </c>
      <c r="S73" s="27">
        <v>136.0</v>
      </c>
      <c r="T73" s="27">
        <v>1.0</v>
      </c>
      <c r="U73" s="27">
        <v>0.0</v>
      </c>
      <c r="V73" s="27">
        <v>0.0</v>
      </c>
      <c r="W73" s="27">
        <v>0.0</v>
      </c>
      <c r="X73" s="27">
        <v>1.0</v>
      </c>
      <c r="Y73" s="27">
        <v>0.0</v>
      </c>
      <c r="Z73" s="27">
        <v>0.0</v>
      </c>
      <c r="AA73" s="27">
        <v>0.0</v>
      </c>
      <c r="AC73" s="27">
        <v>136.0</v>
      </c>
      <c r="AD73" s="27">
        <f t="shared" ref="AD73:AK73" si="80">T73/$S$1</f>
        <v>0.004166666667</v>
      </c>
      <c r="AE73" s="27">
        <f t="shared" si="80"/>
        <v>0</v>
      </c>
      <c r="AF73" s="27">
        <f t="shared" si="80"/>
        <v>0</v>
      </c>
      <c r="AG73" s="27">
        <f t="shared" si="80"/>
        <v>0</v>
      </c>
      <c r="AH73" s="27">
        <f t="shared" si="80"/>
        <v>0.004166666667</v>
      </c>
      <c r="AI73" s="27">
        <f t="shared" si="80"/>
        <v>0</v>
      </c>
      <c r="AJ73" s="27">
        <f t="shared" si="80"/>
        <v>0</v>
      </c>
      <c r="AK73" s="27">
        <f t="shared" si="80"/>
        <v>0</v>
      </c>
    </row>
    <row r="74" ht="15.75" customHeight="1">
      <c r="A74" s="27">
        <v>73.0</v>
      </c>
      <c r="B74" s="27"/>
      <c r="C74" s="27">
        <f t="shared" si="2"/>
        <v>0</v>
      </c>
      <c r="D74" s="27">
        <v>133.0</v>
      </c>
      <c r="E74" s="27">
        <f t="shared" si="3"/>
        <v>0</v>
      </c>
      <c r="G74" s="27">
        <f t="shared" si="4"/>
        <v>0</v>
      </c>
      <c r="H74" s="27">
        <v>17.0</v>
      </c>
      <c r="I74" s="27">
        <f t="shared" si="5"/>
        <v>0</v>
      </c>
      <c r="J74" s="27">
        <v>130.0</v>
      </c>
      <c r="K74" s="27">
        <f t="shared" si="6"/>
        <v>0</v>
      </c>
      <c r="L74" s="27">
        <v>25.0</v>
      </c>
      <c r="M74" s="27">
        <f t="shared" si="7"/>
        <v>0</v>
      </c>
      <c r="O74" s="27">
        <f t="shared" si="8"/>
        <v>0</v>
      </c>
      <c r="P74" s="27">
        <v>340.0</v>
      </c>
      <c r="Q74" s="27">
        <f t="shared" si="9"/>
        <v>0</v>
      </c>
      <c r="S74" s="27">
        <v>143.0</v>
      </c>
      <c r="T74" s="27">
        <v>1.0</v>
      </c>
      <c r="U74" s="27">
        <v>1.0</v>
      </c>
      <c r="V74" s="27">
        <v>1.0</v>
      </c>
      <c r="W74" s="27">
        <v>0.0</v>
      </c>
      <c r="X74" s="27">
        <v>0.0</v>
      </c>
      <c r="Y74" s="27">
        <v>1.0</v>
      </c>
      <c r="Z74" s="27">
        <v>1.0</v>
      </c>
      <c r="AA74" s="27">
        <v>0.0</v>
      </c>
      <c r="AC74" s="27">
        <v>143.0</v>
      </c>
      <c r="AD74" s="27">
        <f t="shared" ref="AD74:AK74" si="81">T74/$S$1</f>
        <v>0.004166666667</v>
      </c>
      <c r="AE74" s="27">
        <f t="shared" si="81"/>
        <v>0.004166666667</v>
      </c>
      <c r="AF74" s="27">
        <f t="shared" si="81"/>
        <v>0.004166666667</v>
      </c>
      <c r="AG74" s="27">
        <f t="shared" si="81"/>
        <v>0</v>
      </c>
      <c r="AH74" s="27">
        <f t="shared" si="81"/>
        <v>0</v>
      </c>
      <c r="AI74" s="27">
        <f t="shared" si="81"/>
        <v>0.004166666667</v>
      </c>
      <c r="AJ74" s="27">
        <f t="shared" si="81"/>
        <v>0.004166666667</v>
      </c>
      <c r="AK74" s="27">
        <f t="shared" si="81"/>
        <v>0</v>
      </c>
    </row>
    <row r="75" ht="15.75" customHeight="1">
      <c r="A75" s="27">
        <v>74.0</v>
      </c>
      <c r="B75" s="27"/>
      <c r="C75" s="27">
        <f t="shared" si="2"/>
        <v>0</v>
      </c>
      <c r="D75" s="27">
        <v>28.0</v>
      </c>
      <c r="E75" s="27">
        <f t="shared" si="3"/>
        <v>0</v>
      </c>
      <c r="G75" s="27">
        <f t="shared" si="4"/>
        <v>0</v>
      </c>
      <c r="H75" s="27">
        <v>50.0</v>
      </c>
      <c r="I75" s="27">
        <f t="shared" si="5"/>
        <v>0</v>
      </c>
      <c r="J75" s="27">
        <v>132.0</v>
      </c>
      <c r="K75" s="27">
        <f t="shared" si="6"/>
        <v>0</v>
      </c>
      <c r="L75" s="27">
        <v>66.0</v>
      </c>
      <c r="M75" s="27">
        <f t="shared" si="7"/>
        <v>0</v>
      </c>
      <c r="O75" s="27">
        <f t="shared" si="8"/>
        <v>0</v>
      </c>
      <c r="P75" s="27">
        <v>417.0</v>
      </c>
      <c r="Q75" s="27">
        <f t="shared" si="9"/>
        <v>0</v>
      </c>
      <c r="S75" s="27">
        <v>144.0</v>
      </c>
      <c r="T75" s="27">
        <v>4.0</v>
      </c>
      <c r="U75" s="27">
        <v>0.0</v>
      </c>
      <c r="V75" s="27">
        <v>4.0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C75" s="27">
        <v>144.0</v>
      </c>
      <c r="AD75" s="27">
        <f t="shared" ref="AD75:AK75" si="82">T75/$S$1</f>
        <v>0.01666666667</v>
      </c>
      <c r="AE75" s="27">
        <f t="shared" si="82"/>
        <v>0</v>
      </c>
      <c r="AF75" s="27">
        <f t="shared" si="82"/>
        <v>0.01666666667</v>
      </c>
      <c r="AG75" s="27">
        <f t="shared" si="82"/>
        <v>0</v>
      </c>
      <c r="AH75" s="27">
        <f t="shared" si="82"/>
        <v>0</v>
      </c>
      <c r="AI75" s="27">
        <f t="shared" si="82"/>
        <v>0</v>
      </c>
      <c r="AJ75" s="27">
        <f t="shared" si="82"/>
        <v>0</v>
      </c>
      <c r="AK75" s="27">
        <f t="shared" si="82"/>
        <v>0</v>
      </c>
    </row>
    <row r="76" ht="15.75" customHeight="1">
      <c r="A76" s="27">
        <v>5.0</v>
      </c>
      <c r="B76" s="27"/>
      <c r="C76" s="27">
        <f t="shared" si="2"/>
        <v>0</v>
      </c>
      <c r="D76" s="27">
        <v>74.0</v>
      </c>
      <c r="E76" s="27">
        <f t="shared" si="3"/>
        <v>0</v>
      </c>
      <c r="G76" s="27">
        <f t="shared" si="4"/>
        <v>0</v>
      </c>
      <c r="H76" s="27">
        <v>218.0</v>
      </c>
      <c r="I76" s="27">
        <f t="shared" si="5"/>
        <v>0</v>
      </c>
      <c r="J76" s="27">
        <v>133.0</v>
      </c>
      <c r="K76" s="27">
        <f t="shared" si="6"/>
        <v>0</v>
      </c>
      <c r="L76" s="27">
        <v>25.0</v>
      </c>
      <c r="M76" s="27">
        <f t="shared" si="7"/>
        <v>0</v>
      </c>
      <c r="O76" s="27">
        <f t="shared" si="8"/>
        <v>0</v>
      </c>
      <c r="P76" s="27">
        <v>424.0</v>
      </c>
      <c r="Q76" s="27">
        <f t="shared" si="9"/>
        <v>0</v>
      </c>
      <c r="S76" s="27">
        <v>145.0</v>
      </c>
      <c r="T76" s="27">
        <v>5.0</v>
      </c>
      <c r="U76" s="27">
        <v>5.0</v>
      </c>
      <c r="V76" s="27">
        <v>5.0</v>
      </c>
      <c r="W76" s="27">
        <v>1.0</v>
      </c>
      <c r="X76" s="27">
        <v>2.0</v>
      </c>
      <c r="Y76" s="27">
        <v>0.0</v>
      </c>
      <c r="Z76" s="27">
        <v>0.0</v>
      </c>
      <c r="AA76" s="27">
        <v>0.0</v>
      </c>
      <c r="AC76" s="27">
        <v>145.0</v>
      </c>
      <c r="AD76" s="27">
        <f t="shared" ref="AD76:AK76" si="83">T76/$S$1</f>
        <v>0.02083333333</v>
      </c>
      <c r="AE76" s="27">
        <f t="shared" si="83"/>
        <v>0.02083333333</v>
      </c>
      <c r="AF76" s="27">
        <f t="shared" si="83"/>
        <v>0.02083333333</v>
      </c>
      <c r="AG76" s="27">
        <f t="shared" si="83"/>
        <v>0.004166666667</v>
      </c>
      <c r="AH76" s="27">
        <f t="shared" si="83"/>
        <v>0.008333333333</v>
      </c>
      <c r="AI76" s="27">
        <f t="shared" si="83"/>
        <v>0</v>
      </c>
      <c r="AJ76" s="27">
        <f t="shared" si="83"/>
        <v>0</v>
      </c>
      <c r="AK76" s="27">
        <f t="shared" si="83"/>
        <v>0</v>
      </c>
    </row>
    <row r="77" ht="15.75" customHeight="1">
      <c r="A77" s="27">
        <v>76.0</v>
      </c>
      <c r="B77" s="27"/>
      <c r="C77" s="27">
        <f t="shared" si="2"/>
        <v>0</v>
      </c>
      <c r="D77" s="27">
        <v>58.0</v>
      </c>
      <c r="E77" s="27">
        <f t="shared" si="3"/>
        <v>0</v>
      </c>
      <c r="G77" s="27">
        <f t="shared" si="4"/>
        <v>0</v>
      </c>
      <c r="H77" s="27">
        <v>227.0</v>
      </c>
      <c r="I77" s="27">
        <f t="shared" si="5"/>
        <v>0</v>
      </c>
      <c r="J77" s="27">
        <v>28.0</v>
      </c>
      <c r="K77" s="27">
        <f t="shared" si="6"/>
        <v>0</v>
      </c>
      <c r="L77" s="27">
        <v>103.0</v>
      </c>
      <c r="M77" s="27">
        <f t="shared" si="7"/>
        <v>0</v>
      </c>
      <c r="O77" s="27">
        <f t="shared" si="8"/>
        <v>0</v>
      </c>
      <c r="P77" s="27">
        <v>426.0</v>
      </c>
      <c r="Q77" s="27">
        <f t="shared" si="9"/>
        <v>0</v>
      </c>
      <c r="S77" s="27">
        <v>147.0</v>
      </c>
      <c r="T77" s="27">
        <v>1.0</v>
      </c>
      <c r="U77" s="27">
        <v>0.0</v>
      </c>
      <c r="V77" s="27">
        <v>0.0</v>
      </c>
      <c r="W77" s="27">
        <v>0.0</v>
      </c>
      <c r="X77" s="27">
        <v>1.0</v>
      </c>
      <c r="Y77" s="27">
        <v>1.0</v>
      </c>
      <c r="Z77" s="27">
        <v>0.0</v>
      </c>
      <c r="AA77" s="27">
        <v>0.0</v>
      </c>
      <c r="AC77" s="27">
        <v>147.0</v>
      </c>
      <c r="AD77" s="27">
        <f t="shared" ref="AD77:AK77" si="84">T77/$S$1</f>
        <v>0.004166666667</v>
      </c>
      <c r="AE77" s="27">
        <f t="shared" si="84"/>
        <v>0</v>
      </c>
      <c r="AF77" s="27">
        <f t="shared" si="84"/>
        <v>0</v>
      </c>
      <c r="AG77" s="27">
        <f t="shared" si="84"/>
        <v>0</v>
      </c>
      <c r="AH77" s="27">
        <f t="shared" si="84"/>
        <v>0.004166666667</v>
      </c>
      <c r="AI77" s="27">
        <f t="shared" si="84"/>
        <v>0.004166666667</v>
      </c>
      <c r="AJ77" s="27">
        <f t="shared" si="84"/>
        <v>0</v>
      </c>
      <c r="AK77" s="27">
        <f t="shared" si="84"/>
        <v>0</v>
      </c>
    </row>
    <row r="78" ht="15.75" customHeight="1">
      <c r="A78" s="27">
        <v>12.0</v>
      </c>
      <c r="B78" s="27"/>
      <c r="C78" s="27">
        <f t="shared" si="2"/>
        <v>0</v>
      </c>
      <c r="D78" s="27">
        <v>17.0</v>
      </c>
      <c r="E78" s="27">
        <f t="shared" si="3"/>
        <v>0</v>
      </c>
      <c r="G78" s="27">
        <f t="shared" si="4"/>
        <v>0</v>
      </c>
      <c r="H78" s="27">
        <v>127.0</v>
      </c>
      <c r="I78" s="27">
        <f t="shared" si="5"/>
        <v>0</v>
      </c>
      <c r="J78" s="27">
        <v>66.0</v>
      </c>
      <c r="K78" s="27">
        <f t="shared" si="6"/>
        <v>0</v>
      </c>
      <c r="L78" s="27">
        <v>104.0</v>
      </c>
      <c r="M78" s="27">
        <f t="shared" si="7"/>
        <v>0</v>
      </c>
      <c r="O78" s="27">
        <f t="shared" si="8"/>
        <v>0</v>
      </c>
      <c r="P78" s="27">
        <v>313.0</v>
      </c>
      <c r="Q78" s="27">
        <f t="shared" si="9"/>
        <v>0</v>
      </c>
      <c r="S78" s="27">
        <v>148.0</v>
      </c>
      <c r="T78" s="27">
        <v>3.0</v>
      </c>
      <c r="U78" s="27">
        <v>3.0</v>
      </c>
      <c r="V78" s="27">
        <v>3.0</v>
      </c>
      <c r="W78" s="27">
        <v>0.0</v>
      </c>
      <c r="X78" s="27">
        <v>3.0</v>
      </c>
      <c r="Y78" s="27">
        <v>0.0</v>
      </c>
      <c r="Z78" s="27">
        <v>0.0</v>
      </c>
      <c r="AA78" s="27">
        <v>2.0</v>
      </c>
      <c r="AC78" s="27">
        <v>148.0</v>
      </c>
      <c r="AD78" s="27">
        <f t="shared" ref="AD78:AK78" si="85">T78/$S$1</f>
        <v>0.0125</v>
      </c>
      <c r="AE78" s="27">
        <f t="shared" si="85"/>
        <v>0.0125</v>
      </c>
      <c r="AF78" s="27">
        <f t="shared" si="85"/>
        <v>0.0125</v>
      </c>
      <c r="AG78" s="27">
        <f t="shared" si="85"/>
        <v>0</v>
      </c>
      <c r="AH78" s="27">
        <f t="shared" si="85"/>
        <v>0.0125</v>
      </c>
      <c r="AI78" s="27">
        <f t="shared" si="85"/>
        <v>0</v>
      </c>
      <c r="AJ78" s="27">
        <f t="shared" si="85"/>
        <v>0</v>
      </c>
      <c r="AK78" s="27">
        <f t="shared" si="85"/>
        <v>0.008333333333</v>
      </c>
    </row>
    <row r="79" ht="15.75" customHeight="1">
      <c r="A79" s="27">
        <v>12.0</v>
      </c>
      <c r="B79" s="27"/>
      <c r="C79" s="27">
        <f t="shared" si="2"/>
        <v>0</v>
      </c>
      <c r="D79" s="27">
        <v>143.0</v>
      </c>
      <c r="E79" s="27">
        <f t="shared" si="3"/>
        <v>0</v>
      </c>
      <c r="G79" s="27">
        <f t="shared" si="4"/>
        <v>0</v>
      </c>
      <c r="H79" s="27">
        <v>232.0</v>
      </c>
      <c r="I79" s="27">
        <f t="shared" si="5"/>
        <v>0</v>
      </c>
      <c r="J79" s="27">
        <v>24.0</v>
      </c>
      <c r="K79" s="27">
        <f t="shared" si="6"/>
        <v>0</v>
      </c>
      <c r="L79" s="27">
        <v>2.0</v>
      </c>
      <c r="M79" s="27">
        <f t="shared" si="7"/>
        <v>0</v>
      </c>
      <c r="O79" s="27">
        <f t="shared" si="8"/>
        <v>0</v>
      </c>
      <c r="P79" s="27">
        <v>252.0</v>
      </c>
      <c r="Q79" s="27">
        <f t="shared" si="9"/>
        <v>0</v>
      </c>
      <c r="S79" s="27">
        <v>149.0</v>
      </c>
      <c r="T79" s="27">
        <v>4.0</v>
      </c>
      <c r="U79" s="27">
        <v>4.0</v>
      </c>
      <c r="V79" s="27">
        <v>4.0</v>
      </c>
      <c r="W79" s="27">
        <v>0.0</v>
      </c>
      <c r="X79" s="27">
        <v>1.0</v>
      </c>
      <c r="Y79" s="27">
        <v>0.0</v>
      </c>
      <c r="Z79" s="27">
        <v>0.0</v>
      </c>
      <c r="AA79" s="27">
        <v>0.0</v>
      </c>
      <c r="AC79" s="27">
        <v>149.0</v>
      </c>
      <c r="AD79" s="27">
        <f t="shared" ref="AD79:AK79" si="86">T79/$S$1</f>
        <v>0.01666666667</v>
      </c>
      <c r="AE79" s="27">
        <f t="shared" si="86"/>
        <v>0.01666666667</v>
      </c>
      <c r="AF79" s="27">
        <f t="shared" si="86"/>
        <v>0.01666666667</v>
      </c>
      <c r="AG79" s="27">
        <f t="shared" si="86"/>
        <v>0</v>
      </c>
      <c r="AH79" s="27">
        <f t="shared" si="86"/>
        <v>0.004166666667</v>
      </c>
      <c r="AI79" s="27">
        <f t="shared" si="86"/>
        <v>0</v>
      </c>
      <c r="AJ79" s="27">
        <f t="shared" si="86"/>
        <v>0</v>
      </c>
      <c r="AK79" s="27">
        <f t="shared" si="86"/>
        <v>0</v>
      </c>
    </row>
    <row r="80" ht="15.75" customHeight="1">
      <c r="A80" s="27">
        <v>70.0</v>
      </c>
      <c r="B80" s="27"/>
      <c r="C80" s="27">
        <f t="shared" si="2"/>
        <v>0</v>
      </c>
      <c r="D80" s="27">
        <v>147.0</v>
      </c>
      <c r="E80" s="27">
        <f t="shared" si="3"/>
        <v>0</v>
      </c>
      <c r="G80" s="27">
        <f t="shared" si="4"/>
        <v>0</v>
      </c>
      <c r="H80" s="27">
        <v>148.0</v>
      </c>
      <c r="I80" s="27">
        <f t="shared" si="5"/>
        <v>0</v>
      </c>
      <c r="J80" s="27">
        <v>24.0</v>
      </c>
      <c r="K80" s="27">
        <f t="shared" si="6"/>
        <v>0</v>
      </c>
      <c r="L80" s="27">
        <v>2.0</v>
      </c>
      <c r="M80" s="27">
        <f t="shared" si="7"/>
        <v>0</v>
      </c>
      <c r="O80" s="27">
        <f t="shared" si="8"/>
        <v>0</v>
      </c>
      <c r="P80" s="27">
        <v>465.0</v>
      </c>
      <c r="Q80" s="27">
        <f t="shared" si="9"/>
        <v>0</v>
      </c>
      <c r="S80" s="27">
        <v>150.0</v>
      </c>
      <c r="T80" s="27">
        <v>1.0</v>
      </c>
      <c r="U80" s="27">
        <v>1.0</v>
      </c>
      <c r="V80" s="27">
        <v>1.0</v>
      </c>
      <c r="W80" s="27">
        <v>0.0</v>
      </c>
      <c r="X80" s="27">
        <v>1.0</v>
      </c>
      <c r="Y80" s="27">
        <v>1.0</v>
      </c>
      <c r="Z80" s="27">
        <v>0.0</v>
      </c>
      <c r="AA80" s="27">
        <v>1.0</v>
      </c>
      <c r="AC80" s="27">
        <v>150.0</v>
      </c>
      <c r="AD80" s="27">
        <f t="shared" ref="AD80:AK80" si="87">T80/$S$1</f>
        <v>0.004166666667</v>
      </c>
      <c r="AE80" s="27">
        <f t="shared" si="87"/>
        <v>0.004166666667</v>
      </c>
      <c r="AF80" s="27">
        <f t="shared" si="87"/>
        <v>0.004166666667</v>
      </c>
      <c r="AG80" s="27">
        <f t="shared" si="87"/>
        <v>0</v>
      </c>
      <c r="AH80" s="27">
        <f t="shared" si="87"/>
        <v>0.004166666667</v>
      </c>
      <c r="AI80" s="27">
        <f t="shared" si="87"/>
        <v>0.004166666667</v>
      </c>
      <c r="AJ80" s="27">
        <f t="shared" si="87"/>
        <v>0</v>
      </c>
      <c r="AK80" s="27">
        <f t="shared" si="87"/>
        <v>0.004166666667</v>
      </c>
    </row>
    <row r="81" ht="15.75" customHeight="1">
      <c r="A81" s="27">
        <v>23.0</v>
      </c>
      <c r="B81" s="27"/>
      <c r="C81" s="27">
        <f t="shared" si="2"/>
        <v>0</v>
      </c>
      <c r="D81" s="27">
        <v>150.0</v>
      </c>
      <c r="E81" s="27">
        <f t="shared" si="3"/>
        <v>0</v>
      </c>
      <c r="G81" s="27">
        <f t="shared" si="4"/>
        <v>0</v>
      </c>
      <c r="H81" s="27">
        <v>58.0</v>
      </c>
      <c r="I81" s="27">
        <f t="shared" si="5"/>
        <v>0</v>
      </c>
      <c r="J81" s="27">
        <v>17.0</v>
      </c>
      <c r="K81" s="27">
        <f t="shared" si="6"/>
        <v>0</v>
      </c>
      <c r="L81" s="27">
        <v>57.0</v>
      </c>
      <c r="M81" s="27">
        <f t="shared" si="7"/>
        <v>0</v>
      </c>
      <c r="O81" s="27">
        <f t="shared" si="8"/>
        <v>0</v>
      </c>
      <c r="P81" s="27">
        <v>148.0</v>
      </c>
      <c r="Q81" s="27">
        <f t="shared" si="9"/>
        <v>0</v>
      </c>
      <c r="S81" s="27">
        <v>153.0</v>
      </c>
      <c r="T81" s="27">
        <v>2.0</v>
      </c>
      <c r="U81" s="27">
        <v>0.0</v>
      </c>
      <c r="V81" s="27">
        <v>0.0</v>
      </c>
      <c r="W81" s="27">
        <v>0.0</v>
      </c>
      <c r="X81" s="27">
        <v>2.0</v>
      </c>
      <c r="Y81" s="27">
        <v>2.0</v>
      </c>
      <c r="Z81" s="27">
        <v>0.0</v>
      </c>
      <c r="AA81" s="27">
        <v>0.0</v>
      </c>
      <c r="AC81" s="27">
        <v>153.0</v>
      </c>
      <c r="AD81" s="27">
        <f t="shared" ref="AD81:AK81" si="88">T81/$S$1</f>
        <v>0.008333333333</v>
      </c>
      <c r="AE81" s="27">
        <f t="shared" si="88"/>
        <v>0</v>
      </c>
      <c r="AF81" s="27">
        <f t="shared" si="88"/>
        <v>0</v>
      </c>
      <c r="AG81" s="27">
        <f t="shared" si="88"/>
        <v>0</v>
      </c>
      <c r="AH81" s="27">
        <f t="shared" si="88"/>
        <v>0.008333333333</v>
      </c>
      <c r="AI81" s="27">
        <f t="shared" si="88"/>
        <v>0.008333333333</v>
      </c>
      <c r="AJ81" s="27">
        <f t="shared" si="88"/>
        <v>0</v>
      </c>
      <c r="AK81" s="27">
        <f t="shared" si="88"/>
        <v>0</v>
      </c>
    </row>
    <row r="82" ht="15.75" customHeight="1">
      <c r="A82" s="27">
        <v>81.0</v>
      </c>
      <c r="B82" s="27"/>
      <c r="C82" s="27">
        <f t="shared" si="2"/>
        <v>0</v>
      </c>
      <c r="D82" s="27">
        <v>74.0</v>
      </c>
      <c r="E82" s="27">
        <f t="shared" si="3"/>
        <v>0</v>
      </c>
      <c r="G82" s="27">
        <f t="shared" si="4"/>
        <v>0</v>
      </c>
      <c r="H82" s="27">
        <v>24.0</v>
      </c>
      <c r="I82" s="27">
        <f t="shared" si="5"/>
        <v>0</v>
      </c>
      <c r="J82" s="27">
        <v>143.0</v>
      </c>
      <c r="K82" s="27">
        <f t="shared" si="6"/>
        <v>0</v>
      </c>
      <c r="L82" s="27">
        <v>57.0</v>
      </c>
      <c r="M82" s="27">
        <f t="shared" si="7"/>
        <v>0</v>
      </c>
      <c r="O82" s="27">
        <f t="shared" si="8"/>
        <v>0</v>
      </c>
      <c r="P82" s="27">
        <v>340.0</v>
      </c>
      <c r="Q82" s="27">
        <f t="shared" si="9"/>
        <v>0</v>
      </c>
      <c r="S82" s="27">
        <v>156.0</v>
      </c>
      <c r="T82" s="27">
        <v>1.0</v>
      </c>
      <c r="U82" s="27">
        <v>0.0</v>
      </c>
      <c r="V82" s="27">
        <v>1.0</v>
      </c>
      <c r="W82" s="27">
        <v>0.0</v>
      </c>
      <c r="X82" s="27">
        <v>0.0</v>
      </c>
      <c r="Y82" s="27">
        <v>0.0</v>
      </c>
      <c r="Z82" s="27">
        <v>0.0</v>
      </c>
      <c r="AA82" s="27">
        <v>0.0</v>
      </c>
      <c r="AC82" s="27">
        <v>156.0</v>
      </c>
      <c r="AD82" s="27">
        <f t="shared" ref="AD82:AK82" si="89">T82/$S$1</f>
        <v>0.004166666667</v>
      </c>
      <c r="AE82" s="27">
        <f t="shared" si="89"/>
        <v>0</v>
      </c>
      <c r="AF82" s="27">
        <f t="shared" si="89"/>
        <v>0.004166666667</v>
      </c>
      <c r="AG82" s="27">
        <f t="shared" si="89"/>
        <v>0</v>
      </c>
      <c r="AH82" s="27">
        <f t="shared" si="89"/>
        <v>0</v>
      </c>
      <c r="AI82" s="27">
        <f t="shared" si="89"/>
        <v>0</v>
      </c>
      <c r="AJ82" s="27">
        <f t="shared" si="89"/>
        <v>0</v>
      </c>
      <c r="AK82" s="27">
        <f t="shared" si="89"/>
        <v>0</v>
      </c>
    </row>
    <row r="83" ht="15.75" customHeight="1">
      <c r="A83" s="27">
        <v>58.0</v>
      </c>
      <c r="B83" s="27"/>
      <c r="C83" s="27">
        <f t="shared" si="2"/>
        <v>0</v>
      </c>
      <c r="D83" s="27">
        <v>74.0</v>
      </c>
      <c r="E83" s="27">
        <f t="shared" si="3"/>
        <v>0</v>
      </c>
      <c r="G83" s="27">
        <f t="shared" si="4"/>
        <v>0</v>
      </c>
      <c r="H83" s="27">
        <v>145.0</v>
      </c>
      <c r="I83" s="27">
        <f t="shared" si="5"/>
        <v>0</v>
      </c>
      <c r="J83" s="27">
        <v>144.0</v>
      </c>
      <c r="K83" s="27">
        <f t="shared" si="6"/>
        <v>0</v>
      </c>
      <c r="L83" s="27">
        <v>74.0</v>
      </c>
      <c r="M83" s="27">
        <f t="shared" si="7"/>
        <v>0</v>
      </c>
      <c r="O83" s="27">
        <f t="shared" si="8"/>
        <v>0</v>
      </c>
      <c r="P83" s="27">
        <v>478.0</v>
      </c>
      <c r="Q83" s="27">
        <f t="shared" si="9"/>
        <v>0</v>
      </c>
      <c r="S83" s="27">
        <v>158.0</v>
      </c>
      <c r="T83" s="27">
        <v>1.0</v>
      </c>
      <c r="U83" s="27">
        <v>0.0</v>
      </c>
      <c r="V83" s="27">
        <v>1.0</v>
      </c>
      <c r="W83" s="27">
        <v>0.0</v>
      </c>
      <c r="X83" s="27">
        <v>1.0</v>
      </c>
      <c r="Y83" s="27">
        <v>0.0</v>
      </c>
      <c r="Z83" s="27">
        <v>0.0</v>
      </c>
      <c r="AA83" s="27">
        <v>0.0</v>
      </c>
      <c r="AC83" s="27">
        <v>158.0</v>
      </c>
      <c r="AD83" s="27">
        <f t="shared" ref="AD83:AK83" si="90">T83/$S$1</f>
        <v>0.004166666667</v>
      </c>
      <c r="AE83" s="27">
        <f t="shared" si="90"/>
        <v>0</v>
      </c>
      <c r="AF83" s="27">
        <f t="shared" si="90"/>
        <v>0.004166666667</v>
      </c>
      <c r="AG83" s="27">
        <f t="shared" si="90"/>
        <v>0</v>
      </c>
      <c r="AH83" s="27">
        <f t="shared" si="90"/>
        <v>0.004166666667</v>
      </c>
      <c r="AI83" s="27">
        <f t="shared" si="90"/>
        <v>0</v>
      </c>
      <c r="AJ83" s="27">
        <f t="shared" si="90"/>
        <v>0</v>
      </c>
      <c r="AK83" s="27">
        <f t="shared" si="90"/>
        <v>0</v>
      </c>
    </row>
    <row r="84" ht="15.75" customHeight="1">
      <c r="A84" s="27">
        <v>83.0</v>
      </c>
      <c r="B84" s="27"/>
      <c r="C84" s="27">
        <f t="shared" si="2"/>
        <v>0</v>
      </c>
      <c r="D84" s="27">
        <v>153.0</v>
      </c>
      <c r="E84" s="27">
        <f t="shared" si="3"/>
        <v>0</v>
      </c>
      <c r="G84" s="27">
        <f t="shared" si="4"/>
        <v>0</v>
      </c>
      <c r="H84" s="27">
        <v>53.0</v>
      </c>
      <c r="I84" s="27">
        <f t="shared" si="5"/>
        <v>0</v>
      </c>
      <c r="J84" s="27">
        <v>145.0</v>
      </c>
      <c r="K84" s="27">
        <f t="shared" si="6"/>
        <v>0</v>
      </c>
      <c r="L84" s="27">
        <v>5.0</v>
      </c>
      <c r="M84" s="27">
        <f t="shared" si="7"/>
        <v>0</v>
      </c>
      <c r="O84" s="27">
        <f t="shared" si="8"/>
        <v>0</v>
      </c>
      <c r="P84" s="27">
        <v>313.0</v>
      </c>
      <c r="Q84" s="27">
        <f t="shared" si="9"/>
        <v>0</v>
      </c>
      <c r="S84" s="27">
        <v>164.0</v>
      </c>
      <c r="T84" s="27">
        <v>1.0</v>
      </c>
      <c r="U84" s="27">
        <v>0.0</v>
      </c>
      <c r="V84" s="27">
        <v>0.0</v>
      </c>
      <c r="W84" s="27">
        <v>1.0</v>
      </c>
      <c r="X84" s="27">
        <v>0.0</v>
      </c>
      <c r="Y84" s="27">
        <v>0.0</v>
      </c>
      <c r="Z84" s="27">
        <v>0.0</v>
      </c>
      <c r="AA84" s="27">
        <v>0.0</v>
      </c>
      <c r="AC84" s="27">
        <v>164.0</v>
      </c>
      <c r="AD84" s="27">
        <f t="shared" ref="AD84:AK84" si="91">T84/$S$1</f>
        <v>0.004166666667</v>
      </c>
      <c r="AE84" s="27">
        <f t="shared" si="91"/>
        <v>0</v>
      </c>
      <c r="AF84" s="27">
        <f t="shared" si="91"/>
        <v>0</v>
      </c>
      <c r="AG84" s="27">
        <f t="shared" si="91"/>
        <v>0.004166666667</v>
      </c>
      <c r="AH84" s="27">
        <f t="shared" si="91"/>
        <v>0</v>
      </c>
      <c r="AI84" s="27">
        <f t="shared" si="91"/>
        <v>0</v>
      </c>
      <c r="AJ84" s="27">
        <f t="shared" si="91"/>
        <v>0</v>
      </c>
      <c r="AK84" s="27">
        <f t="shared" si="91"/>
        <v>0</v>
      </c>
    </row>
    <row r="85" ht="15.75" customHeight="1">
      <c r="A85" s="27">
        <v>84.0</v>
      </c>
      <c r="B85" s="27"/>
      <c r="C85" s="27">
        <f t="shared" si="2"/>
        <v>0</v>
      </c>
      <c r="D85" s="27">
        <v>17.0</v>
      </c>
      <c r="E85" s="27">
        <f t="shared" si="3"/>
        <v>0</v>
      </c>
      <c r="G85" s="27">
        <f t="shared" si="4"/>
        <v>0</v>
      </c>
      <c r="H85" s="27">
        <v>50.0</v>
      </c>
      <c r="I85" s="27">
        <f t="shared" si="5"/>
        <v>0</v>
      </c>
      <c r="J85" s="27">
        <v>1.0</v>
      </c>
      <c r="K85" s="27">
        <f t="shared" si="6"/>
        <v>0</v>
      </c>
      <c r="L85" s="27">
        <v>5.0</v>
      </c>
      <c r="M85" s="27">
        <f t="shared" si="7"/>
        <v>0</v>
      </c>
      <c r="O85" s="27">
        <f t="shared" si="8"/>
        <v>0</v>
      </c>
      <c r="P85" s="27">
        <v>1.0</v>
      </c>
      <c r="Q85" s="27">
        <f t="shared" si="9"/>
        <v>0</v>
      </c>
      <c r="S85" s="27">
        <v>171.0</v>
      </c>
      <c r="T85" s="27">
        <v>2.0</v>
      </c>
      <c r="U85" s="27">
        <v>0.0</v>
      </c>
      <c r="V85" s="27">
        <v>1.0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C85" s="27">
        <v>171.0</v>
      </c>
      <c r="AD85" s="27">
        <f t="shared" ref="AD85:AK85" si="92">T85/$S$1</f>
        <v>0.008333333333</v>
      </c>
      <c r="AE85" s="27">
        <f t="shared" si="92"/>
        <v>0</v>
      </c>
      <c r="AF85" s="27">
        <f t="shared" si="92"/>
        <v>0.004166666667</v>
      </c>
      <c r="AG85" s="27">
        <f t="shared" si="92"/>
        <v>0</v>
      </c>
      <c r="AH85" s="27">
        <f t="shared" si="92"/>
        <v>0</v>
      </c>
      <c r="AI85" s="27">
        <f t="shared" si="92"/>
        <v>0</v>
      </c>
      <c r="AJ85" s="27">
        <f t="shared" si="92"/>
        <v>0</v>
      </c>
      <c r="AK85" s="27">
        <f t="shared" si="92"/>
        <v>0</v>
      </c>
    </row>
    <row r="86" ht="15.75" customHeight="1">
      <c r="A86" s="27">
        <v>85.0</v>
      </c>
      <c r="B86" s="27"/>
      <c r="C86" s="27">
        <f t="shared" si="2"/>
        <v>0</v>
      </c>
      <c r="D86" s="27">
        <v>120.0</v>
      </c>
      <c r="E86" s="27">
        <f t="shared" si="3"/>
        <v>0</v>
      </c>
      <c r="G86" s="27">
        <f t="shared" si="4"/>
        <v>0</v>
      </c>
      <c r="H86" s="27">
        <v>43.0</v>
      </c>
      <c r="I86" s="27">
        <f t="shared" si="5"/>
        <v>0</v>
      </c>
      <c r="J86" s="27">
        <v>148.0</v>
      </c>
      <c r="K86" s="27">
        <f t="shared" si="6"/>
        <v>0</v>
      </c>
      <c r="L86" s="27">
        <v>112.0</v>
      </c>
      <c r="M86" s="27">
        <f t="shared" si="7"/>
        <v>0</v>
      </c>
      <c r="O86" s="27">
        <f t="shared" si="8"/>
        <v>0</v>
      </c>
      <c r="P86" s="27">
        <v>313.0</v>
      </c>
      <c r="Q86" s="27">
        <f t="shared" si="9"/>
        <v>0</v>
      </c>
      <c r="S86" s="27">
        <v>174.0</v>
      </c>
      <c r="T86" s="27">
        <v>1.0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C86" s="27">
        <v>174.0</v>
      </c>
      <c r="AD86" s="27">
        <f t="shared" ref="AD86:AK86" si="93">T86/$S$1</f>
        <v>0.004166666667</v>
      </c>
      <c r="AE86" s="27">
        <f t="shared" si="93"/>
        <v>0</v>
      </c>
      <c r="AF86" s="27">
        <f t="shared" si="93"/>
        <v>0</v>
      </c>
      <c r="AG86" s="27">
        <f t="shared" si="93"/>
        <v>0</v>
      </c>
      <c r="AH86" s="27">
        <f t="shared" si="93"/>
        <v>0</v>
      </c>
      <c r="AI86" s="27">
        <f t="shared" si="93"/>
        <v>0</v>
      </c>
      <c r="AJ86" s="27">
        <f t="shared" si="93"/>
        <v>0</v>
      </c>
      <c r="AK86" s="27">
        <f t="shared" si="93"/>
        <v>0</v>
      </c>
    </row>
    <row r="87" ht="15.75" customHeight="1">
      <c r="A87" s="27">
        <v>86.0</v>
      </c>
      <c r="B87" s="27"/>
      <c r="C87" s="27">
        <f t="shared" si="2"/>
        <v>0</v>
      </c>
      <c r="D87" s="27">
        <v>52.0</v>
      </c>
      <c r="E87" s="27">
        <f t="shared" si="3"/>
        <v>0</v>
      </c>
      <c r="G87" s="27">
        <f t="shared" si="4"/>
        <v>0</v>
      </c>
      <c r="H87" s="27">
        <v>132.0</v>
      </c>
      <c r="I87" s="27">
        <f t="shared" si="5"/>
        <v>0</v>
      </c>
      <c r="J87" s="27">
        <v>149.0</v>
      </c>
      <c r="K87" s="27">
        <f t="shared" si="6"/>
        <v>0</v>
      </c>
      <c r="L87" s="27">
        <v>113.0</v>
      </c>
      <c r="M87" s="27">
        <f t="shared" si="7"/>
        <v>0</v>
      </c>
      <c r="O87" s="27">
        <f t="shared" si="8"/>
        <v>0</v>
      </c>
      <c r="P87" s="27">
        <v>313.0</v>
      </c>
      <c r="Q87" s="27">
        <f t="shared" si="9"/>
        <v>0</v>
      </c>
      <c r="S87" s="27">
        <v>177.0</v>
      </c>
      <c r="T87" s="27">
        <v>1.0</v>
      </c>
      <c r="U87" s="27">
        <v>0.0</v>
      </c>
      <c r="V87" s="27">
        <v>0.0</v>
      </c>
      <c r="W87" s="27">
        <v>0.0</v>
      </c>
      <c r="X87" s="27">
        <v>1.0</v>
      </c>
      <c r="Y87" s="27">
        <v>0.0</v>
      </c>
      <c r="Z87" s="27">
        <v>0.0</v>
      </c>
      <c r="AA87" s="27">
        <v>0.0</v>
      </c>
      <c r="AC87" s="27">
        <v>177.0</v>
      </c>
      <c r="AD87" s="27">
        <f t="shared" ref="AD87:AK87" si="94">T87/$S$1</f>
        <v>0.004166666667</v>
      </c>
      <c r="AE87" s="27">
        <f t="shared" si="94"/>
        <v>0</v>
      </c>
      <c r="AF87" s="27">
        <f t="shared" si="94"/>
        <v>0</v>
      </c>
      <c r="AG87" s="27">
        <f t="shared" si="94"/>
        <v>0</v>
      </c>
      <c r="AH87" s="27">
        <f t="shared" si="94"/>
        <v>0.004166666667</v>
      </c>
      <c r="AI87" s="27">
        <f t="shared" si="94"/>
        <v>0</v>
      </c>
      <c r="AJ87" s="27">
        <f t="shared" si="94"/>
        <v>0</v>
      </c>
      <c r="AK87" s="27">
        <f t="shared" si="94"/>
        <v>0</v>
      </c>
    </row>
    <row r="88" ht="15.75" customHeight="1">
      <c r="A88" s="27">
        <v>87.0</v>
      </c>
      <c r="B88" s="27"/>
      <c r="C88" s="27">
        <f t="shared" si="2"/>
        <v>0</v>
      </c>
      <c r="D88" s="27">
        <v>74.0</v>
      </c>
      <c r="E88" s="27">
        <f t="shared" si="3"/>
        <v>0</v>
      </c>
      <c r="G88" s="27">
        <f t="shared" si="4"/>
        <v>0</v>
      </c>
      <c r="H88" s="27">
        <v>232.0</v>
      </c>
      <c r="I88" s="27">
        <f t="shared" si="5"/>
        <v>0</v>
      </c>
      <c r="J88" s="27">
        <v>150.0</v>
      </c>
      <c r="K88" s="27">
        <f t="shared" si="6"/>
        <v>0</v>
      </c>
      <c r="L88" s="27">
        <v>19.0</v>
      </c>
      <c r="M88" s="27">
        <f t="shared" si="7"/>
        <v>0</v>
      </c>
      <c r="O88" s="27">
        <f t="shared" si="8"/>
        <v>0</v>
      </c>
      <c r="P88" s="27">
        <v>511.0</v>
      </c>
      <c r="Q88" s="27">
        <f t="shared" si="9"/>
        <v>0</v>
      </c>
      <c r="S88" s="27">
        <v>178.0</v>
      </c>
      <c r="T88" s="27">
        <v>1.0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C88" s="27">
        <v>178.0</v>
      </c>
      <c r="AD88" s="27">
        <f t="shared" ref="AD88:AK88" si="95">T88/$S$1</f>
        <v>0.004166666667</v>
      </c>
      <c r="AE88" s="27">
        <f t="shared" si="95"/>
        <v>0</v>
      </c>
      <c r="AF88" s="27">
        <f t="shared" si="95"/>
        <v>0</v>
      </c>
      <c r="AG88" s="27">
        <f t="shared" si="95"/>
        <v>0</v>
      </c>
      <c r="AH88" s="27">
        <f t="shared" si="95"/>
        <v>0</v>
      </c>
      <c r="AI88" s="27">
        <f t="shared" si="95"/>
        <v>0</v>
      </c>
      <c r="AJ88" s="27">
        <f t="shared" si="95"/>
        <v>0</v>
      </c>
      <c r="AK88" s="27">
        <f t="shared" si="95"/>
        <v>0</v>
      </c>
    </row>
    <row r="89" ht="15.75" customHeight="1">
      <c r="A89" s="27">
        <v>57.0</v>
      </c>
      <c r="B89" s="27"/>
      <c r="C89" s="27">
        <f t="shared" si="2"/>
        <v>0</v>
      </c>
      <c r="D89" s="27">
        <v>25.0</v>
      </c>
      <c r="E89" s="27">
        <f t="shared" si="3"/>
        <v>0</v>
      </c>
      <c r="G89" s="27">
        <f t="shared" si="4"/>
        <v>0</v>
      </c>
      <c r="H89" s="27">
        <v>52.0</v>
      </c>
      <c r="I89" s="27">
        <f t="shared" si="5"/>
        <v>0</v>
      </c>
      <c r="J89" s="27">
        <v>17.0</v>
      </c>
      <c r="K89" s="27">
        <f t="shared" si="6"/>
        <v>0</v>
      </c>
      <c r="L89" s="27">
        <v>115.0</v>
      </c>
      <c r="M89" s="27">
        <f t="shared" si="7"/>
        <v>0</v>
      </c>
      <c r="O89" s="27">
        <f t="shared" si="8"/>
        <v>0</v>
      </c>
      <c r="P89" s="27">
        <v>340.0</v>
      </c>
      <c r="Q89" s="27">
        <f t="shared" si="9"/>
        <v>0</v>
      </c>
      <c r="S89" s="27">
        <v>180.0</v>
      </c>
      <c r="T89" s="27">
        <v>1.0</v>
      </c>
      <c r="U89" s="27">
        <v>1.0</v>
      </c>
      <c r="V89" s="27">
        <v>1.0</v>
      </c>
      <c r="W89" s="27">
        <v>0.0</v>
      </c>
      <c r="X89" s="27">
        <v>0.0</v>
      </c>
      <c r="Y89" s="27">
        <v>1.0</v>
      </c>
      <c r="Z89" s="27">
        <v>1.0</v>
      </c>
      <c r="AA89" s="27">
        <v>1.0</v>
      </c>
      <c r="AC89" s="27">
        <v>180.0</v>
      </c>
      <c r="AD89" s="27">
        <f t="shared" ref="AD89:AK89" si="96">T89/$S$1</f>
        <v>0.004166666667</v>
      </c>
      <c r="AE89" s="27">
        <f t="shared" si="96"/>
        <v>0.004166666667</v>
      </c>
      <c r="AF89" s="27">
        <f t="shared" si="96"/>
        <v>0.004166666667</v>
      </c>
      <c r="AG89" s="27">
        <f t="shared" si="96"/>
        <v>0</v>
      </c>
      <c r="AH89" s="27">
        <f t="shared" si="96"/>
        <v>0</v>
      </c>
      <c r="AI89" s="27">
        <f t="shared" si="96"/>
        <v>0.004166666667</v>
      </c>
      <c r="AJ89" s="27">
        <f t="shared" si="96"/>
        <v>0.004166666667</v>
      </c>
      <c r="AK89" s="27">
        <f t="shared" si="96"/>
        <v>0.004166666667</v>
      </c>
    </row>
    <row r="90" ht="15.75" customHeight="1">
      <c r="A90" s="27">
        <v>50.0</v>
      </c>
      <c r="B90" s="27"/>
      <c r="C90" s="27">
        <f t="shared" si="2"/>
        <v>0</v>
      </c>
      <c r="D90" s="27">
        <v>57.0</v>
      </c>
      <c r="E90" s="27">
        <f t="shared" si="3"/>
        <v>0</v>
      </c>
      <c r="G90" s="27">
        <f t="shared" si="4"/>
        <v>0</v>
      </c>
      <c r="H90" s="27">
        <v>269.0</v>
      </c>
      <c r="I90" s="27">
        <f t="shared" si="5"/>
        <v>0</v>
      </c>
      <c r="J90" s="27">
        <v>156.0</v>
      </c>
      <c r="K90" s="27">
        <f t="shared" si="6"/>
        <v>0</v>
      </c>
      <c r="L90" s="27">
        <v>116.0</v>
      </c>
      <c r="M90" s="27">
        <f t="shared" si="7"/>
        <v>0</v>
      </c>
      <c r="O90" s="27">
        <f t="shared" si="8"/>
        <v>0</v>
      </c>
      <c r="P90" s="27">
        <v>340.0</v>
      </c>
      <c r="Q90" s="27">
        <f t="shared" si="9"/>
        <v>0</v>
      </c>
      <c r="S90" s="27">
        <v>190.0</v>
      </c>
      <c r="T90" s="27">
        <v>1.0</v>
      </c>
      <c r="U90" s="27">
        <v>0.0</v>
      </c>
      <c r="V90" s="27">
        <v>0.0</v>
      </c>
      <c r="W90" s="27">
        <v>0.0</v>
      </c>
      <c r="X90" s="27">
        <v>1.0</v>
      </c>
      <c r="Y90" s="27">
        <v>1.0</v>
      </c>
      <c r="Z90" s="27">
        <v>0.0</v>
      </c>
      <c r="AA90" s="27">
        <v>0.0</v>
      </c>
      <c r="AC90" s="27">
        <v>190.0</v>
      </c>
      <c r="AD90" s="27">
        <f t="shared" ref="AD90:AK90" si="97">T90/$S$1</f>
        <v>0.004166666667</v>
      </c>
      <c r="AE90" s="27">
        <f t="shared" si="97"/>
        <v>0</v>
      </c>
      <c r="AF90" s="27">
        <f t="shared" si="97"/>
        <v>0</v>
      </c>
      <c r="AG90" s="27">
        <f t="shared" si="97"/>
        <v>0</v>
      </c>
      <c r="AH90" s="27">
        <f t="shared" si="97"/>
        <v>0.004166666667</v>
      </c>
      <c r="AI90" s="27">
        <f t="shared" si="97"/>
        <v>0.004166666667</v>
      </c>
      <c r="AJ90" s="27">
        <f t="shared" si="97"/>
        <v>0</v>
      </c>
      <c r="AK90" s="27">
        <f t="shared" si="97"/>
        <v>0</v>
      </c>
    </row>
    <row r="91" ht="15.75" customHeight="1">
      <c r="A91" s="27">
        <v>24.0</v>
      </c>
      <c r="B91" s="27"/>
      <c r="C91" s="27">
        <f t="shared" si="2"/>
        <v>0</v>
      </c>
      <c r="D91" s="27">
        <v>74.0</v>
      </c>
      <c r="E91" s="27">
        <f t="shared" si="3"/>
        <v>0</v>
      </c>
      <c r="G91" s="27">
        <f t="shared" si="4"/>
        <v>0</v>
      </c>
      <c r="H91" s="27">
        <v>25.0</v>
      </c>
      <c r="I91" s="27">
        <f t="shared" si="5"/>
        <v>0</v>
      </c>
      <c r="J91" s="27">
        <v>66.0</v>
      </c>
      <c r="K91" s="27">
        <f t="shared" si="6"/>
        <v>0</v>
      </c>
      <c r="L91" s="27">
        <v>43.0</v>
      </c>
      <c r="M91" s="27">
        <f t="shared" si="7"/>
        <v>0</v>
      </c>
      <c r="O91" s="27">
        <f t="shared" si="8"/>
        <v>0</v>
      </c>
      <c r="P91" s="27">
        <v>232.0</v>
      </c>
      <c r="Q91" s="27">
        <f t="shared" si="9"/>
        <v>0</v>
      </c>
      <c r="S91" s="27">
        <v>194.0</v>
      </c>
      <c r="T91" s="27">
        <v>1.0</v>
      </c>
      <c r="U91" s="27">
        <v>0.0</v>
      </c>
      <c r="V91" s="27">
        <v>1.0</v>
      </c>
      <c r="W91" s="27">
        <v>0.0</v>
      </c>
      <c r="X91" s="27">
        <v>0.0</v>
      </c>
      <c r="Y91" s="27">
        <v>1.0</v>
      </c>
      <c r="Z91" s="27">
        <v>0.0</v>
      </c>
      <c r="AA91" s="27">
        <v>0.0</v>
      </c>
      <c r="AC91" s="27">
        <v>194.0</v>
      </c>
      <c r="AD91" s="27">
        <f t="shared" ref="AD91:AK91" si="98">T91/$S$1</f>
        <v>0.004166666667</v>
      </c>
      <c r="AE91" s="27">
        <f t="shared" si="98"/>
        <v>0</v>
      </c>
      <c r="AF91" s="27">
        <f t="shared" si="98"/>
        <v>0.004166666667</v>
      </c>
      <c r="AG91" s="27">
        <f t="shared" si="98"/>
        <v>0</v>
      </c>
      <c r="AH91" s="27">
        <f t="shared" si="98"/>
        <v>0</v>
      </c>
      <c r="AI91" s="27">
        <f t="shared" si="98"/>
        <v>0.004166666667</v>
      </c>
      <c r="AJ91" s="27">
        <f t="shared" si="98"/>
        <v>0</v>
      </c>
      <c r="AK91" s="27">
        <f t="shared" si="98"/>
        <v>0</v>
      </c>
    </row>
    <row r="92" ht="15.75" customHeight="1">
      <c r="A92" s="27">
        <v>50.0</v>
      </c>
      <c r="B92" s="27"/>
      <c r="C92" s="27">
        <f t="shared" si="2"/>
        <v>0</v>
      </c>
      <c r="D92" s="27">
        <v>23.0</v>
      </c>
      <c r="E92" s="27">
        <f t="shared" si="3"/>
        <v>0</v>
      </c>
      <c r="G92" s="27">
        <f t="shared" si="4"/>
        <v>0</v>
      </c>
      <c r="H92" s="27">
        <v>25.0</v>
      </c>
      <c r="I92" s="27">
        <f t="shared" si="5"/>
        <v>0</v>
      </c>
      <c r="J92" s="27">
        <v>158.0</v>
      </c>
      <c r="K92" s="27">
        <f t="shared" si="6"/>
        <v>0</v>
      </c>
      <c r="L92" s="27">
        <v>118.0</v>
      </c>
      <c r="M92" s="27">
        <f t="shared" si="7"/>
        <v>0</v>
      </c>
      <c r="O92" s="27">
        <f t="shared" si="8"/>
        <v>0</v>
      </c>
      <c r="P92" s="27">
        <v>530.0</v>
      </c>
      <c r="Q92" s="27">
        <f t="shared" si="9"/>
        <v>0</v>
      </c>
      <c r="S92" s="27">
        <v>195.0</v>
      </c>
      <c r="T92" s="27">
        <v>13.0</v>
      </c>
      <c r="U92" s="27">
        <v>0.0</v>
      </c>
      <c r="V92" s="27">
        <v>4.0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C92" s="27">
        <v>195.0</v>
      </c>
      <c r="AD92" s="27">
        <f t="shared" ref="AD92:AK92" si="99">T92/$S$1</f>
        <v>0.05416666667</v>
      </c>
      <c r="AE92" s="27">
        <f t="shared" si="99"/>
        <v>0</v>
      </c>
      <c r="AF92" s="27">
        <f t="shared" si="99"/>
        <v>0.01666666667</v>
      </c>
      <c r="AG92" s="27">
        <f t="shared" si="99"/>
        <v>0</v>
      </c>
      <c r="AH92" s="27">
        <f t="shared" si="99"/>
        <v>0</v>
      </c>
      <c r="AI92" s="27">
        <f t="shared" si="99"/>
        <v>0</v>
      </c>
      <c r="AJ92" s="27">
        <f t="shared" si="99"/>
        <v>0</v>
      </c>
      <c r="AK92" s="27">
        <f t="shared" si="99"/>
        <v>0</v>
      </c>
    </row>
    <row r="93" ht="15.75" customHeight="1">
      <c r="A93" s="27">
        <v>66.0</v>
      </c>
      <c r="B93" s="27"/>
      <c r="C93" s="27">
        <f t="shared" si="2"/>
        <v>0</v>
      </c>
      <c r="D93" s="27">
        <v>74.0</v>
      </c>
      <c r="E93" s="27">
        <f t="shared" si="3"/>
        <v>0</v>
      </c>
      <c r="G93" s="27">
        <f t="shared" si="4"/>
        <v>0</v>
      </c>
      <c r="H93" s="27">
        <v>25.0</v>
      </c>
      <c r="I93" s="27">
        <f t="shared" si="5"/>
        <v>0</v>
      </c>
      <c r="J93" s="27">
        <v>52.0</v>
      </c>
      <c r="K93" s="27">
        <f t="shared" si="6"/>
        <v>0</v>
      </c>
      <c r="L93" s="27">
        <v>43.0</v>
      </c>
      <c r="M93" s="27">
        <f t="shared" si="7"/>
        <v>0</v>
      </c>
      <c r="O93" s="27">
        <f t="shared" si="8"/>
        <v>0</v>
      </c>
      <c r="P93" s="27">
        <v>340.0</v>
      </c>
      <c r="Q93" s="27">
        <f t="shared" si="9"/>
        <v>0</v>
      </c>
      <c r="S93" s="27">
        <v>197.0</v>
      </c>
      <c r="T93" s="27">
        <v>1.0</v>
      </c>
      <c r="U93" s="27">
        <v>0.0</v>
      </c>
      <c r="V93" s="27">
        <v>0.0</v>
      </c>
      <c r="W93" s="27">
        <v>0.0</v>
      </c>
      <c r="X93" s="27">
        <v>1.0</v>
      </c>
      <c r="Y93" s="27">
        <v>0.0</v>
      </c>
      <c r="Z93" s="27">
        <v>0.0</v>
      </c>
      <c r="AA93" s="27">
        <v>0.0</v>
      </c>
      <c r="AC93" s="27">
        <v>197.0</v>
      </c>
      <c r="AD93" s="27">
        <f t="shared" ref="AD93:AK93" si="100">T93/$S$1</f>
        <v>0.004166666667</v>
      </c>
      <c r="AE93" s="27">
        <f t="shared" si="100"/>
        <v>0</v>
      </c>
      <c r="AF93" s="27">
        <f t="shared" si="100"/>
        <v>0</v>
      </c>
      <c r="AG93" s="27">
        <f t="shared" si="100"/>
        <v>0</v>
      </c>
      <c r="AH93" s="27">
        <f t="shared" si="100"/>
        <v>0.004166666667</v>
      </c>
      <c r="AI93" s="27">
        <f t="shared" si="100"/>
        <v>0</v>
      </c>
      <c r="AJ93" s="27">
        <f t="shared" si="100"/>
        <v>0</v>
      </c>
      <c r="AK93" s="27">
        <f t="shared" si="100"/>
        <v>0</v>
      </c>
    </row>
    <row r="94" ht="15.75" customHeight="1">
      <c r="A94" s="27">
        <v>28.0</v>
      </c>
      <c r="B94" s="27"/>
      <c r="C94" s="27">
        <f t="shared" si="2"/>
        <v>0</v>
      </c>
      <c r="D94" s="27">
        <v>153.0</v>
      </c>
      <c r="E94" s="27">
        <f t="shared" si="3"/>
        <v>0</v>
      </c>
      <c r="G94" s="27">
        <f t="shared" si="4"/>
        <v>0</v>
      </c>
      <c r="H94" s="27">
        <v>294.0</v>
      </c>
      <c r="I94" s="27">
        <f t="shared" si="5"/>
        <v>0</v>
      </c>
      <c r="J94" s="27">
        <v>25.0</v>
      </c>
      <c r="K94" s="27">
        <f t="shared" si="6"/>
        <v>0</v>
      </c>
      <c r="L94" s="27">
        <v>120.0</v>
      </c>
      <c r="M94" s="27">
        <f t="shared" si="7"/>
        <v>0</v>
      </c>
      <c r="O94" s="27">
        <f t="shared" si="8"/>
        <v>0</v>
      </c>
      <c r="P94" s="27">
        <v>340.0</v>
      </c>
      <c r="Q94" s="27">
        <f t="shared" si="9"/>
        <v>0</v>
      </c>
      <c r="S94" s="27">
        <v>198.0</v>
      </c>
      <c r="T94" s="27">
        <v>1.0</v>
      </c>
      <c r="U94" s="27">
        <v>0.0</v>
      </c>
      <c r="V94" s="27">
        <v>0.0</v>
      </c>
      <c r="W94" s="27">
        <v>0.0</v>
      </c>
      <c r="X94" s="27">
        <v>1.0</v>
      </c>
      <c r="Y94" s="27">
        <v>0.0</v>
      </c>
      <c r="Z94" s="27">
        <v>0.0</v>
      </c>
      <c r="AA94" s="27">
        <v>0.0</v>
      </c>
      <c r="AC94" s="27">
        <v>198.0</v>
      </c>
      <c r="AD94" s="27">
        <f t="shared" ref="AD94:AK94" si="101">T94/$S$1</f>
        <v>0.004166666667</v>
      </c>
      <c r="AE94" s="27">
        <f t="shared" si="101"/>
        <v>0</v>
      </c>
      <c r="AF94" s="27">
        <f t="shared" si="101"/>
        <v>0</v>
      </c>
      <c r="AG94" s="27">
        <f t="shared" si="101"/>
        <v>0</v>
      </c>
      <c r="AH94" s="27">
        <f t="shared" si="101"/>
        <v>0.004166666667</v>
      </c>
      <c r="AI94" s="27">
        <f t="shared" si="101"/>
        <v>0</v>
      </c>
      <c r="AJ94" s="27">
        <f t="shared" si="101"/>
        <v>0</v>
      </c>
      <c r="AK94" s="27">
        <f t="shared" si="101"/>
        <v>0</v>
      </c>
    </row>
    <row r="95" ht="15.75" customHeight="1">
      <c r="A95" s="27">
        <v>94.0</v>
      </c>
      <c r="B95" s="27"/>
      <c r="C95" s="27">
        <f t="shared" si="2"/>
        <v>0</v>
      </c>
      <c r="D95" s="27">
        <v>180.0</v>
      </c>
      <c r="E95" s="27">
        <f t="shared" si="3"/>
        <v>0</v>
      </c>
      <c r="G95" s="27">
        <f t="shared" si="4"/>
        <v>0</v>
      </c>
      <c r="H95" s="27">
        <v>50.0</v>
      </c>
      <c r="I95" s="27">
        <f t="shared" si="5"/>
        <v>0</v>
      </c>
      <c r="J95" s="27">
        <v>25.0</v>
      </c>
      <c r="K95" s="27">
        <f t="shared" si="6"/>
        <v>0</v>
      </c>
      <c r="L95" s="27">
        <v>120.0</v>
      </c>
      <c r="M95" s="27">
        <f t="shared" si="7"/>
        <v>0</v>
      </c>
      <c r="O95" s="27">
        <f t="shared" si="8"/>
        <v>0</v>
      </c>
      <c r="P95" s="27">
        <v>17.0</v>
      </c>
      <c r="Q95" s="27">
        <f t="shared" si="9"/>
        <v>0</v>
      </c>
      <c r="S95" s="27">
        <v>200.0</v>
      </c>
      <c r="T95" s="27">
        <v>4.0</v>
      </c>
      <c r="U95" s="27">
        <v>0.0</v>
      </c>
      <c r="V95" s="27">
        <v>4.0</v>
      </c>
      <c r="W95" s="27">
        <v>0.0</v>
      </c>
      <c r="X95" s="27">
        <v>3.0</v>
      </c>
      <c r="Y95" s="27">
        <v>0.0</v>
      </c>
      <c r="Z95" s="27">
        <v>0.0</v>
      </c>
      <c r="AA95" s="27">
        <v>0.0</v>
      </c>
      <c r="AC95" s="27">
        <v>200.0</v>
      </c>
      <c r="AD95" s="27">
        <f t="shared" ref="AD95:AK95" si="102">T95/$S$1</f>
        <v>0.01666666667</v>
      </c>
      <c r="AE95" s="27">
        <f t="shared" si="102"/>
        <v>0</v>
      </c>
      <c r="AF95" s="27">
        <f t="shared" si="102"/>
        <v>0.01666666667</v>
      </c>
      <c r="AG95" s="27">
        <f t="shared" si="102"/>
        <v>0</v>
      </c>
      <c r="AH95" s="27">
        <f t="shared" si="102"/>
        <v>0.0125</v>
      </c>
      <c r="AI95" s="27">
        <f t="shared" si="102"/>
        <v>0</v>
      </c>
      <c r="AJ95" s="27">
        <f t="shared" si="102"/>
        <v>0</v>
      </c>
      <c r="AK95" s="27">
        <f t="shared" si="102"/>
        <v>0</v>
      </c>
    </row>
    <row r="96" ht="15.75" customHeight="1">
      <c r="A96" s="27">
        <v>74.0</v>
      </c>
      <c r="B96" s="27"/>
      <c r="C96" s="27">
        <f t="shared" si="2"/>
        <v>0</v>
      </c>
      <c r="D96" s="27">
        <v>43.0</v>
      </c>
      <c r="E96" s="27">
        <f t="shared" si="3"/>
        <v>0</v>
      </c>
      <c r="G96" s="27">
        <f t="shared" si="4"/>
        <v>0</v>
      </c>
      <c r="H96" s="27">
        <v>313.0</v>
      </c>
      <c r="I96" s="27">
        <f t="shared" si="5"/>
        <v>0</v>
      </c>
      <c r="J96" s="27">
        <v>24.0</v>
      </c>
      <c r="K96" s="27">
        <f t="shared" si="6"/>
        <v>0</v>
      </c>
      <c r="L96" s="27">
        <v>123.0</v>
      </c>
      <c r="M96" s="27">
        <f t="shared" si="7"/>
        <v>0</v>
      </c>
      <c r="O96" s="27">
        <f t="shared" si="8"/>
        <v>0</v>
      </c>
      <c r="P96" s="27">
        <v>340.0</v>
      </c>
      <c r="Q96" s="27">
        <f t="shared" si="9"/>
        <v>0</v>
      </c>
      <c r="S96" s="27">
        <v>201.0</v>
      </c>
      <c r="T96" s="27">
        <v>1.0</v>
      </c>
      <c r="U96" s="27">
        <v>0.0</v>
      </c>
      <c r="V96" s="27">
        <v>0.0</v>
      </c>
      <c r="W96" s="27">
        <v>0.0</v>
      </c>
      <c r="X96" s="27">
        <v>1.0</v>
      </c>
      <c r="Y96" s="27">
        <v>1.0</v>
      </c>
      <c r="Z96" s="27">
        <v>0.0</v>
      </c>
      <c r="AA96" s="27">
        <v>1.0</v>
      </c>
      <c r="AC96" s="27">
        <v>201.0</v>
      </c>
      <c r="AD96" s="27">
        <f t="shared" ref="AD96:AK96" si="103">T96/$S$1</f>
        <v>0.004166666667</v>
      </c>
      <c r="AE96" s="27">
        <f t="shared" si="103"/>
        <v>0</v>
      </c>
      <c r="AF96" s="27">
        <f t="shared" si="103"/>
        <v>0</v>
      </c>
      <c r="AG96" s="27">
        <f t="shared" si="103"/>
        <v>0</v>
      </c>
      <c r="AH96" s="27">
        <f t="shared" si="103"/>
        <v>0.004166666667</v>
      </c>
      <c r="AI96" s="27">
        <f t="shared" si="103"/>
        <v>0.004166666667</v>
      </c>
      <c r="AJ96" s="27">
        <f t="shared" si="103"/>
        <v>0</v>
      </c>
      <c r="AK96" s="27">
        <f t="shared" si="103"/>
        <v>0.004166666667</v>
      </c>
    </row>
    <row r="97" ht="15.75" customHeight="1">
      <c r="A97" s="27">
        <v>2.0</v>
      </c>
      <c r="B97" s="27"/>
      <c r="C97" s="27">
        <f t="shared" si="2"/>
        <v>0</v>
      </c>
      <c r="D97" s="27">
        <v>43.0</v>
      </c>
      <c r="E97" s="27">
        <f t="shared" si="3"/>
        <v>0</v>
      </c>
      <c r="G97" s="27">
        <f t="shared" si="4"/>
        <v>0</v>
      </c>
      <c r="H97" s="27">
        <v>52.0</v>
      </c>
      <c r="I97" s="27">
        <f t="shared" si="5"/>
        <v>0</v>
      </c>
      <c r="J97" s="27">
        <v>12.0</v>
      </c>
      <c r="K97" s="27">
        <f t="shared" si="6"/>
        <v>0</v>
      </c>
      <c r="L97" s="27">
        <v>120.0</v>
      </c>
      <c r="M97" s="27">
        <f t="shared" si="7"/>
        <v>0</v>
      </c>
      <c r="O97" s="27">
        <f t="shared" si="8"/>
        <v>0</v>
      </c>
      <c r="P97" s="27">
        <v>307.0</v>
      </c>
      <c r="Q97" s="27">
        <f t="shared" si="9"/>
        <v>0</v>
      </c>
      <c r="S97" s="27">
        <v>206.0</v>
      </c>
      <c r="T97" s="27">
        <v>1.0</v>
      </c>
      <c r="U97" s="27">
        <v>0.0</v>
      </c>
      <c r="V97" s="27">
        <v>0.0</v>
      </c>
      <c r="W97" s="27">
        <v>0.0</v>
      </c>
      <c r="X97" s="27">
        <v>0.0</v>
      </c>
      <c r="Y97" s="27">
        <v>0.0</v>
      </c>
      <c r="Z97" s="27">
        <v>0.0</v>
      </c>
      <c r="AA97" s="27">
        <v>0.0</v>
      </c>
      <c r="AC97" s="27">
        <v>206.0</v>
      </c>
      <c r="AD97" s="27">
        <f t="shared" ref="AD97:AK97" si="104">T97/$S$1</f>
        <v>0.004166666667</v>
      </c>
      <c r="AE97" s="27">
        <f t="shared" si="104"/>
        <v>0</v>
      </c>
      <c r="AF97" s="27">
        <f t="shared" si="104"/>
        <v>0</v>
      </c>
      <c r="AG97" s="27">
        <f t="shared" si="104"/>
        <v>0</v>
      </c>
      <c r="AH97" s="27">
        <f t="shared" si="104"/>
        <v>0</v>
      </c>
      <c r="AI97" s="27">
        <f t="shared" si="104"/>
        <v>0</v>
      </c>
      <c r="AJ97" s="27">
        <f t="shared" si="104"/>
        <v>0</v>
      </c>
      <c r="AK97" s="27">
        <f t="shared" si="104"/>
        <v>0</v>
      </c>
    </row>
    <row r="98" ht="15.75" customHeight="1">
      <c r="A98" s="27">
        <v>25.0</v>
      </c>
      <c r="B98" s="27"/>
      <c r="C98" s="27">
        <f t="shared" si="2"/>
        <v>0</v>
      </c>
      <c r="D98" s="27">
        <v>43.0</v>
      </c>
      <c r="E98" s="27">
        <f t="shared" si="3"/>
        <v>0</v>
      </c>
      <c r="G98" s="27">
        <f t="shared" si="4"/>
        <v>0</v>
      </c>
      <c r="H98" s="27">
        <v>24.0</v>
      </c>
      <c r="I98" s="27">
        <f t="shared" si="5"/>
        <v>0</v>
      </c>
      <c r="J98" s="27">
        <v>66.0</v>
      </c>
      <c r="K98" s="27">
        <f t="shared" si="6"/>
        <v>0</v>
      </c>
      <c r="L98" s="27">
        <v>125.0</v>
      </c>
      <c r="M98" s="27">
        <f t="shared" si="7"/>
        <v>0</v>
      </c>
      <c r="O98" s="27">
        <f t="shared" si="8"/>
        <v>0</v>
      </c>
      <c r="P98" s="27">
        <v>340.0</v>
      </c>
      <c r="Q98" s="27">
        <f t="shared" si="9"/>
        <v>0</v>
      </c>
      <c r="S98" s="27">
        <v>207.0</v>
      </c>
      <c r="T98" s="27">
        <v>1.0</v>
      </c>
      <c r="U98" s="27">
        <v>0.0</v>
      </c>
      <c r="V98" s="27">
        <v>0.0</v>
      </c>
      <c r="W98" s="27">
        <v>0.0</v>
      </c>
      <c r="X98" s="27">
        <v>1.0</v>
      </c>
      <c r="Y98" s="27">
        <v>1.0</v>
      </c>
      <c r="Z98" s="27">
        <v>0.0</v>
      </c>
      <c r="AA98" s="27">
        <v>1.0</v>
      </c>
      <c r="AC98" s="27">
        <v>207.0</v>
      </c>
      <c r="AD98" s="27">
        <f t="shared" ref="AD98:AK98" si="105">T98/$S$1</f>
        <v>0.004166666667</v>
      </c>
      <c r="AE98" s="27">
        <f t="shared" si="105"/>
        <v>0</v>
      </c>
      <c r="AF98" s="27">
        <f t="shared" si="105"/>
        <v>0</v>
      </c>
      <c r="AG98" s="27">
        <f t="shared" si="105"/>
        <v>0</v>
      </c>
      <c r="AH98" s="27">
        <f t="shared" si="105"/>
        <v>0.004166666667</v>
      </c>
      <c r="AI98" s="27">
        <f t="shared" si="105"/>
        <v>0.004166666667</v>
      </c>
      <c r="AJ98" s="27">
        <f t="shared" si="105"/>
        <v>0</v>
      </c>
      <c r="AK98" s="27">
        <f t="shared" si="105"/>
        <v>0.004166666667</v>
      </c>
    </row>
    <row r="99" ht="15.75" customHeight="1">
      <c r="A99" s="27">
        <v>12.0</v>
      </c>
      <c r="B99" s="27"/>
      <c r="C99" s="27">
        <f t="shared" si="2"/>
        <v>0</v>
      </c>
      <c r="D99" s="27">
        <v>120.0</v>
      </c>
      <c r="E99" s="27">
        <f t="shared" si="3"/>
        <v>0</v>
      </c>
      <c r="G99" s="27">
        <f t="shared" si="4"/>
        <v>0</v>
      </c>
      <c r="H99" s="27">
        <v>319.0</v>
      </c>
      <c r="I99" s="27">
        <f t="shared" si="5"/>
        <v>0</v>
      </c>
      <c r="J99" s="27">
        <v>24.0</v>
      </c>
      <c r="K99" s="27">
        <f t="shared" si="6"/>
        <v>0</v>
      </c>
      <c r="L99" s="27">
        <v>132.0</v>
      </c>
      <c r="M99" s="27">
        <f t="shared" si="7"/>
        <v>0</v>
      </c>
      <c r="O99" s="27">
        <f t="shared" si="8"/>
        <v>0</v>
      </c>
      <c r="P99" s="27">
        <v>478.0</v>
      </c>
      <c r="Q99" s="27">
        <f t="shared" si="9"/>
        <v>0</v>
      </c>
      <c r="S99" s="27">
        <v>209.0</v>
      </c>
      <c r="T99" s="27">
        <v>1.0</v>
      </c>
      <c r="U99" s="27">
        <v>0.0</v>
      </c>
      <c r="V99" s="27">
        <v>0.0</v>
      </c>
      <c r="W99" s="27">
        <v>0.0</v>
      </c>
      <c r="X99" s="27">
        <v>1.0</v>
      </c>
      <c r="Y99" s="27">
        <v>0.0</v>
      </c>
      <c r="Z99" s="27">
        <v>0.0</v>
      </c>
      <c r="AA99" s="27">
        <v>0.0</v>
      </c>
      <c r="AC99" s="27">
        <v>209.0</v>
      </c>
      <c r="AD99" s="27">
        <f t="shared" ref="AD99:AK99" si="106">T99/$S$1</f>
        <v>0.004166666667</v>
      </c>
      <c r="AE99" s="27">
        <f t="shared" si="106"/>
        <v>0</v>
      </c>
      <c r="AF99" s="27">
        <f t="shared" si="106"/>
        <v>0</v>
      </c>
      <c r="AG99" s="27">
        <f t="shared" si="106"/>
        <v>0</v>
      </c>
      <c r="AH99" s="27">
        <f t="shared" si="106"/>
        <v>0.004166666667</v>
      </c>
      <c r="AI99" s="27">
        <f t="shared" si="106"/>
        <v>0</v>
      </c>
      <c r="AJ99" s="27">
        <f t="shared" si="106"/>
        <v>0</v>
      </c>
      <c r="AK99" s="27">
        <f t="shared" si="106"/>
        <v>0</v>
      </c>
    </row>
    <row r="100" ht="15.75" customHeight="1">
      <c r="A100" s="27">
        <v>19.0</v>
      </c>
      <c r="B100" s="27"/>
      <c r="C100" s="27">
        <f t="shared" si="2"/>
        <v>0</v>
      </c>
      <c r="D100" s="27">
        <v>120.0</v>
      </c>
      <c r="E100" s="27">
        <f t="shared" si="3"/>
        <v>0</v>
      </c>
      <c r="G100" s="27">
        <f t="shared" si="4"/>
        <v>0</v>
      </c>
      <c r="H100" s="27">
        <v>321.0</v>
      </c>
      <c r="I100" s="27">
        <f t="shared" si="5"/>
        <v>0</v>
      </c>
      <c r="J100" s="27">
        <v>116.0</v>
      </c>
      <c r="K100" s="27">
        <f t="shared" si="6"/>
        <v>0</v>
      </c>
      <c r="L100" s="27">
        <v>133.0</v>
      </c>
      <c r="M100" s="27">
        <f t="shared" si="7"/>
        <v>0</v>
      </c>
      <c r="O100" s="27">
        <f t="shared" si="8"/>
        <v>0</v>
      </c>
      <c r="P100" s="27">
        <v>340.0</v>
      </c>
      <c r="Q100" s="27">
        <f t="shared" si="9"/>
        <v>0</v>
      </c>
      <c r="S100" s="27">
        <v>211.0</v>
      </c>
      <c r="T100" s="27">
        <v>2.0</v>
      </c>
      <c r="U100" s="27">
        <v>0.0</v>
      </c>
      <c r="V100" s="27">
        <v>2.0</v>
      </c>
      <c r="W100" s="27">
        <v>0.0</v>
      </c>
      <c r="X100" s="27">
        <v>2.0</v>
      </c>
      <c r="Y100" s="27">
        <v>0.0</v>
      </c>
      <c r="Z100" s="27">
        <v>0.0</v>
      </c>
      <c r="AA100" s="27">
        <v>0.0</v>
      </c>
      <c r="AC100" s="27">
        <v>211.0</v>
      </c>
      <c r="AD100" s="27">
        <f t="shared" ref="AD100:AK100" si="107">T100/$S$1</f>
        <v>0.008333333333</v>
      </c>
      <c r="AE100" s="27">
        <f t="shared" si="107"/>
        <v>0</v>
      </c>
      <c r="AF100" s="27">
        <f t="shared" si="107"/>
        <v>0.008333333333</v>
      </c>
      <c r="AG100" s="27">
        <f t="shared" si="107"/>
        <v>0</v>
      </c>
      <c r="AH100" s="27">
        <f t="shared" si="107"/>
        <v>0.008333333333</v>
      </c>
      <c r="AI100" s="27">
        <f t="shared" si="107"/>
        <v>0</v>
      </c>
      <c r="AJ100" s="27">
        <f t="shared" si="107"/>
        <v>0</v>
      </c>
      <c r="AK100" s="27">
        <f t="shared" si="107"/>
        <v>0</v>
      </c>
    </row>
    <row r="101" ht="15.75" customHeight="1">
      <c r="A101" s="27">
        <v>25.0</v>
      </c>
      <c r="B101" s="27"/>
      <c r="C101" s="27">
        <f t="shared" si="2"/>
        <v>0</v>
      </c>
      <c r="D101" s="27">
        <v>120.0</v>
      </c>
      <c r="E101" s="27">
        <f t="shared" si="3"/>
        <v>0</v>
      </c>
      <c r="G101" s="27">
        <f t="shared" si="4"/>
        <v>0</v>
      </c>
      <c r="H101" s="27">
        <v>221.0</v>
      </c>
      <c r="I101" s="27">
        <f t="shared" si="5"/>
        <v>0</v>
      </c>
      <c r="J101" s="27">
        <v>171.0</v>
      </c>
      <c r="K101" s="27">
        <f t="shared" si="6"/>
        <v>0</v>
      </c>
      <c r="L101" s="27">
        <v>28.0</v>
      </c>
      <c r="M101" s="27">
        <f t="shared" si="7"/>
        <v>0</v>
      </c>
      <c r="O101" s="27">
        <f t="shared" si="8"/>
        <v>0</v>
      </c>
      <c r="P101" s="27">
        <v>478.0</v>
      </c>
      <c r="Q101" s="27">
        <f t="shared" si="9"/>
        <v>0</v>
      </c>
      <c r="S101" s="27">
        <v>214.0</v>
      </c>
      <c r="T101" s="27">
        <v>2.0</v>
      </c>
      <c r="U101" s="27">
        <v>0.0</v>
      </c>
      <c r="V101" s="27">
        <v>0.0</v>
      </c>
      <c r="W101" s="27">
        <v>2.0</v>
      </c>
      <c r="X101" s="27">
        <v>0.0</v>
      </c>
      <c r="Y101" s="27">
        <v>0.0</v>
      </c>
      <c r="Z101" s="27">
        <v>0.0</v>
      </c>
      <c r="AA101" s="27">
        <v>0.0</v>
      </c>
      <c r="AC101" s="27">
        <v>214.0</v>
      </c>
      <c r="AD101" s="27">
        <f t="shared" ref="AD101:AK101" si="108">T101/$S$1</f>
        <v>0.008333333333</v>
      </c>
      <c r="AE101" s="27">
        <f t="shared" si="108"/>
        <v>0</v>
      </c>
      <c r="AF101" s="27">
        <f t="shared" si="108"/>
        <v>0</v>
      </c>
      <c r="AG101" s="27">
        <f t="shared" si="108"/>
        <v>0.008333333333</v>
      </c>
      <c r="AH101" s="27">
        <f t="shared" si="108"/>
        <v>0</v>
      </c>
      <c r="AI101" s="27">
        <f t="shared" si="108"/>
        <v>0</v>
      </c>
      <c r="AJ101" s="27">
        <f t="shared" si="108"/>
        <v>0</v>
      </c>
      <c r="AK101" s="27">
        <f t="shared" si="108"/>
        <v>0</v>
      </c>
    </row>
    <row r="102" ht="15.75" customHeight="1">
      <c r="A102" s="27">
        <v>66.0</v>
      </c>
      <c r="B102" s="27"/>
      <c r="C102" s="27">
        <f t="shared" si="2"/>
        <v>0</v>
      </c>
      <c r="D102" s="27">
        <v>120.0</v>
      </c>
      <c r="E102" s="27">
        <f t="shared" si="3"/>
        <v>0</v>
      </c>
      <c r="G102" s="27">
        <f t="shared" si="4"/>
        <v>0</v>
      </c>
      <c r="H102" s="27">
        <v>325.0</v>
      </c>
      <c r="I102" s="27">
        <f t="shared" si="5"/>
        <v>0</v>
      </c>
      <c r="J102" s="27">
        <v>25.0</v>
      </c>
      <c r="K102" s="27">
        <f t="shared" si="6"/>
        <v>0</v>
      </c>
      <c r="L102" s="27">
        <v>48.0</v>
      </c>
      <c r="M102" s="27">
        <f t="shared" si="7"/>
        <v>0</v>
      </c>
      <c r="O102" s="27">
        <f t="shared" si="8"/>
        <v>0</v>
      </c>
      <c r="Q102" s="27">
        <f t="shared" si="9"/>
        <v>0</v>
      </c>
      <c r="S102" s="27">
        <v>218.0</v>
      </c>
      <c r="T102" s="27">
        <v>2.0</v>
      </c>
      <c r="U102" s="27">
        <v>2.0</v>
      </c>
      <c r="V102" s="27">
        <v>2.0</v>
      </c>
      <c r="W102" s="27">
        <v>0.0</v>
      </c>
      <c r="X102" s="27">
        <v>2.0</v>
      </c>
      <c r="Y102" s="27">
        <v>0.0</v>
      </c>
      <c r="Z102" s="27">
        <v>0.0</v>
      </c>
      <c r="AA102" s="27">
        <v>0.0</v>
      </c>
      <c r="AC102" s="27">
        <v>218.0</v>
      </c>
      <c r="AD102" s="27">
        <f t="shared" ref="AD102:AK102" si="109">T102/$S$1</f>
        <v>0.008333333333</v>
      </c>
      <c r="AE102" s="27">
        <f t="shared" si="109"/>
        <v>0.008333333333</v>
      </c>
      <c r="AF102" s="27">
        <f t="shared" si="109"/>
        <v>0.008333333333</v>
      </c>
      <c r="AG102" s="27">
        <f t="shared" si="109"/>
        <v>0</v>
      </c>
      <c r="AH102" s="27">
        <f t="shared" si="109"/>
        <v>0.008333333333</v>
      </c>
      <c r="AI102" s="27">
        <f t="shared" si="109"/>
        <v>0</v>
      </c>
      <c r="AJ102" s="27">
        <f t="shared" si="109"/>
        <v>0</v>
      </c>
      <c r="AK102" s="27">
        <f t="shared" si="109"/>
        <v>0</v>
      </c>
    </row>
    <row r="103" ht="15.75" customHeight="1">
      <c r="A103" s="27">
        <v>25.0</v>
      </c>
      <c r="B103" s="27"/>
      <c r="C103" s="27">
        <f t="shared" si="2"/>
        <v>0</v>
      </c>
      <c r="D103" s="27">
        <v>120.0</v>
      </c>
      <c r="E103" s="27">
        <f t="shared" si="3"/>
        <v>0</v>
      </c>
      <c r="G103" s="27">
        <f t="shared" si="4"/>
        <v>0</v>
      </c>
      <c r="H103" s="27">
        <v>328.0</v>
      </c>
      <c r="I103" s="27">
        <f t="shared" si="5"/>
        <v>0</v>
      </c>
      <c r="J103" s="27">
        <v>180.0</v>
      </c>
      <c r="K103" s="27">
        <f t="shared" si="6"/>
        <v>0</v>
      </c>
      <c r="L103" s="27">
        <v>136.0</v>
      </c>
      <c r="M103" s="27">
        <f t="shared" si="7"/>
        <v>0</v>
      </c>
      <c r="O103" s="27">
        <f t="shared" si="8"/>
        <v>0</v>
      </c>
      <c r="Q103" s="27">
        <f t="shared" si="9"/>
        <v>0</v>
      </c>
      <c r="S103" s="27">
        <v>220.0</v>
      </c>
      <c r="T103" s="27">
        <v>2.0</v>
      </c>
      <c r="U103" s="27">
        <v>0.0</v>
      </c>
      <c r="V103" s="27">
        <v>0.0</v>
      </c>
      <c r="W103" s="27">
        <v>0.0</v>
      </c>
      <c r="X103" s="27">
        <v>0.0</v>
      </c>
      <c r="Y103" s="27">
        <v>0.0</v>
      </c>
      <c r="Z103" s="27">
        <v>0.0</v>
      </c>
      <c r="AA103" s="27">
        <v>0.0</v>
      </c>
      <c r="AC103" s="27">
        <v>220.0</v>
      </c>
      <c r="AD103" s="27">
        <f t="shared" ref="AD103:AK103" si="110">T103/$S$1</f>
        <v>0.008333333333</v>
      </c>
      <c r="AE103" s="27">
        <f t="shared" si="110"/>
        <v>0</v>
      </c>
      <c r="AF103" s="27">
        <f t="shared" si="110"/>
        <v>0</v>
      </c>
      <c r="AG103" s="27">
        <f t="shared" si="110"/>
        <v>0</v>
      </c>
      <c r="AH103" s="27">
        <f t="shared" si="110"/>
        <v>0</v>
      </c>
      <c r="AI103" s="27">
        <f t="shared" si="110"/>
        <v>0</v>
      </c>
      <c r="AJ103" s="27">
        <f t="shared" si="110"/>
        <v>0</v>
      </c>
      <c r="AK103" s="27">
        <f t="shared" si="110"/>
        <v>0</v>
      </c>
    </row>
    <row r="104" ht="15.75" customHeight="1">
      <c r="A104" s="27">
        <v>103.0</v>
      </c>
      <c r="B104" s="27"/>
      <c r="C104" s="27">
        <f t="shared" si="2"/>
        <v>0</v>
      </c>
      <c r="D104" s="27">
        <v>120.0</v>
      </c>
      <c r="E104" s="27">
        <f t="shared" si="3"/>
        <v>0</v>
      </c>
      <c r="G104" s="27">
        <f t="shared" si="4"/>
        <v>0</v>
      </c>
      <c r="H104" s="27">
        <v>218.0</v>
      </c>
      <c r="I104" s="27">
        <f t="shared" si="5"/>
        <v>0</v>
      </c>
      <c r="J104" s="27">
        <v>43.0</v>
      </c>
      <c r="K104" s="27">
        <f t="shared" si="6"/>
        <v>0</v>
      </c>
      <c r="L104" s="27">
        <v>66.0</v>
      </c>
      <c r="M104" s="27">
        <f t="shared" si="7"/>
        <v>0</v>
      </c>
      <c r="O104" s="27">
        <f t="shared" si="8"/>
        <v>0</v>
      </c>
      <c r="Q104" s="27">
        <f t="shared" si="9"/>
        <v>0</v>
      </c>
      <c r="S104" s="27">
        <v>221.0</v>
      </c>
      <c r="T104" s="27">
        <v>4.0</v>
      </c>
      <c r="U104" s="27">
        <v>3.0</v>
      </c>
      <c r="V104" s="27">
        <v>4.0</v>
      </c>
      <c r="W104" s="27">
        <v>0.0</v>
      </c>
      <c r="X104" s="27">
        <v>4.0</v>
      </c>
      <c r="Y104" s="27">
        <v>0.0</v>
      </c>
      <c r="Z104" s="27">
        <v>0.0</v>
      </c>
      <c r="AA104" s="27">
        <v>0.0</v>
      </c>
      <c r="AC104" s="27">
        <v>221.0</v>
      </c>
      <c r="AD104" s="27">
        <f t="shared" ref="AD104:AK104" si="111">T104/$S$1</f>
        <v>0.01666666667</v>
      </c>
      <c r="AE104" s="27">
        <f t="shared" si="111"/>
        <v>0.0125</v>
      </c>
      <c r="AF104" s="27">
        <f t="shared" si="111"/>
        <v>0.01666666667</v>
      </c>
      <c r="AG104" s="27">
        <f t="shared" si="111"/>
        <v>0</v>
      </c>
      <c r="AH104" s="27">
        <f t="shared" si="111"/>
        <v>0.01666666667</v>
      </c>
      <c r="AI104" s="27">
        <f t="shared" si="111"/>
        <v>0</v>
      </c>
      <c r="AJ104" s="27">
        <f t="shared" si="111"/>
        <v>0</v>
      </c>
      <c r="AK104" s="27">
        <f t="shared" si="111"/>
        <v>0</v>
      </c>
    </row>
    <row r="105" ht="15.75" customHeight="1">
      <c r="A105" s="27">
        <v>104.0</v>
      </c>
      <c r="B105" s="27"/>
      <c r="C105" s="27">
        <f t="shared" si="2"/>
        <v>0</v>
      </c>
      <c r="D105" s="27">
        <v>190.0</v>
      </c>
      <c r="E105" s="27">
        <f t="shared" si="3"/>
        <v>0</v>
      </c>
      <c r="G105" s="27">
        <f t="shared" si="4"/>
        <v>0</v>
      </c>
      <c r="H105" s="27">
        <v>332.0</v>
      </c>
      <c r="I105" s="27">
        <f t="shared" si="5"/>
        <v>0</v>
      </c>
      <c r="J105" s="27">
        <v>43.0</v>
      </c>
      <c r="K105" s="27">
        <f t="shared" si="6"/>
        <v>0</v>
      </c>
      <c r="L105" s="27">
        <v>74.0</v>
      </c>
      <c r="M105" s="27">
        <f t="shared" si="7"/>
        <v>0</v>
      </c>
      <c r="O105" s="27">
        <f t="shared" si="8"/>
        <v>0</v>
      </c>
      <c r="Q105" s="27">
        <f t="shared" si="9"/>
        <v>0</v>
      </c>
      <c r="S105" s="27">
        <v>227.0</v>
      </c>
      <c r="T105" s="27">
        <v>1.0</v>
      </c>
      <c r="U105" s="27">
        <v>1.0</v>
      </c>
      <c r="V105" s="27">
        <v>1.0</v>
      </c>
      <c r="W105" s="27">
        <v>0.0</v>
      </c>
      <c r="X105" s="27">
        <v>1.0</v>
      </c>
      <c r="Y105" s="27">
        <v>0.0</v>
      </c>
      <c r="Z105" s="27">
        <v>0.0</v>
      </c>
      <c r="AA105" s="27">
        <v>0.0</v>
      </c>
      <c r="AC105" s="27">
        <v>227.0</v>
      </c>
      <c r="AD105" s="27">
        <f t="shared" ref="AD105:AK105" si="112">T105/$S$1</f>
        <v>0.004166666667</v>
      </c>
      <c r="AE105" s="27">
        <f t="shared" si="112"/>
        <v>0.004166666667</v>
      </c>
      <c r="AF105" s="27">
        <f t="shared" si="112"/>
        <v>0.004166666667</v>
      </c>
      <c r="AG105" s="27">
        <f t="shared" si="112"/>
        <v>0</v>
      </c>
      <c r="AH105" s="27">
        <f t="shared" si="112"/>
        <v>0.004166666667</v>
      </c>
      <c r="AI105" s="27">
        <f t="shared" si="112"/>
        <v>0</v>
      </c>
      <c r="AJ105" s="27">
        <f t="shared" si="112"/>
        <v>0</v>
      </c>
      <c r="AK105" s="27">
        <f t="shared" si="112"/>
        <v>0</v>
      </c>
    </row>
    <row r="106" ht="15.75" customHeight="1">
      <c r="A106" s="27">
        <v>2.0</v>
      </c>
      <c r="B106" s="27"/>
      <c r="C106" s="27">
        <f t="shared" si="2"/>
        <v>0</v>
      </c>
      <c r="D106" s="27">
        <v>194.0</v>
      </c>
      <c r="E106" s="27">
        <f t="shared" si="3"/>
        <v>0</v>
      </c>
      <c r="G106" s="27">
        <f t="shared" si="4"/>
        <v>0</v>
      </c>
      <c r="H106" s="27">
        <v>334.0</v>
      </c>
      <c r="I106" s="27">
        <f t="shared" si="5"/>
        <v>0</v>
      </c>
      <c r="J106" s="27">
        <v>43.0</v>
      </c>
      <c r="K106" s="27">
        <f t="shared" si="6"/>
        <v>0</v>
      </c>
      <c r="L106" s="27">
        <v>17.0</v>
      </c>
      <c r="M106" s="27">
        <f t="shared" si="7"/>
        <v>0</v>
      </c>
      <c r="O106" s="27">
        <f t="shared" si="8"/>
        <v>0</v>
      </c>
      <c r="Q106" s="27">
        <f t="shared" si="9"/>
        <v>0</v>
      </c>
      <c r="S106" s="27">
        <v>232.0</v>
      </c>
      <c r="T106" s="27">
        <v>5.0</v>
      </c>
      <c r="U106" s="27">
        <v>4.0</v>
      </c>
      <c r="V106" s="27">
        <v>4.0</v>
      </c>
      <c r="W106" s="27">
        <v>0.0</v>
      </c>
      <c r="X106" s="27">
        <v>5.0</v>
      </c>
      <c r="Y106" s="27">
        <v>3.0</v>
      </c>
      <c r="Z106" s="27">
        <v>0.0</v>
      </c>
      <c r="AA106" s="27">
        <v>3.0</v>
      </c>
      <c r="AC106" s="27">
        <v>232.0</v>
      </c>
      <c r="AD106" s="27">
        <f t="shared" ref="AD106:AK106" si="113">T106/$S$1</f>
        <v>0.02083333333</v>
      </c>
      <c r="AE106" s="27">
        <f t="shared" si="113"/>
        <v>0.01666666667</v>
      </c>
      <c r="AF106" s="27">
        <f t="shared" si="113"/>
        <v>0.01666666667</v>
      </c>
      <c r="AG106" s="27">
        <f t="shared" si="113"/>
        <v>0</v>
      </c>
      <c r="AH106" s="27">
        <f t="shared" si="113"/>
        <v>0.02083333333</v>
      </c>
      <c r="AI106" s="27">
        <f t="shared" si="113"/>
        <v>0.0125</v>
      </c>
      <c r="AJ106" s="27">
        <f t="shared" si="113"/>
        <v>0</v>
      </c>
      <c r="AK106" s="27">
        <f t="shared" si="113"/>
        <v>0.0125</v>
      </c>
    </row>
    <row r="107" ht="15.75" customHeight="1">
      <c r="A107" s="27">
        <v>2.0</v>
      </c>
      <c r="B107" s="27"/>
      <c r="C107" s="27">
        <f t="shared" si="2"/>
        <v>0</v>
      </c>
      <c r="D107" s="27">
        <v>201.0</v>
      </c>
      <c r="E107" s="27">
        <f t="shared" si="3"/>
        <v>0</v>
      </c>
      <c r="G107" s="27">
        <f t="shared" si="4"/>
        <v>0</v>
      </c>
      <c r="H107" s="27">
        <v>339.0</v>
      </c>
      <c r="I107" s="27">
        <f t="shared" si="5"/>
        <v>0</v>
      </c>
      <c r="J107" s="27">
        <v>120.0</v>
      </c>
      <c r="K107" s="27">
        <f t="shared" si="6"/>
        <v>0</v>
      </c>
      <c r="L107" s="27">
        <v>1.0</v>
      </c>
      <c r="M107" s="27">
        <f t="shared" si="7"/>
        <v>0</v>
      </c>
      <c r="O107" s="27">
        <f t="shared" si="8"/>
        <v>0</v>
      </c>
      <c r="Q107" s="27">
        <f t="shared" si="9"/>
        <v>0</v>
      </c>
      <c r="S107" s="27">
        <v>233.0</v>
      </c>
      <c r="T107" s="27">
        <v>2.0</v>
      </c>
      <c r="U107" s="27">
        <v>0.0</v>
      </c>
      <c r="V107" s="27">
        <v>1.0</v>
      </c>
      <c r="W107" s="27">
        <v>0.0</v>
      </c>
      <c r="X107" s="27">
        <v>1.0</v>
      </c>
      <c r="Y107" s="27">
        <v>1.0</v>
      </c>
      <c r="Z107" s="27">
        <v>0.0</v>
      </c>
      <c r="AA107" s="27">
        <v>0.0</v>
      </c>
      <c r="AC107" s="27">
        <v>233.0</v>
      </c>
      <c r="AD107" s="27">
        <f t="shared" ref="AD107:AK107" si="114">T107/$S$1</f>
        <v>0.008333333333</v>
      </c>
      <c r="AE107" s="27">
        <f t="shared" si="114"/>
        <v>0</v>
      </c>
      <c r="AF107" s="27">
        <f t="shared" si="114"/>
        <v>0.004166666667</v>
      </c>
      <c r="AG107" s="27">
        <f t="shared" si="114"/>
        <v>0</v>
      </c>
      <c r="AH107" s="27">
        <f t="shared" si="114"/>
        <v>0.004166666667</v>
      </c>
      <c r="AI107" s="27">
        <f t="shared" si="114"/>
        <v>0.004166666667</v>
      </c>
      <c r="AJ107" s="27">
        <f t="shared" si="114"/>
        <v>0</v>
      </c>
      <c r="AK107" s="27">
        <f t="shared" si="114"/>
        <v>0</v>
      </c>
    </row>
    <row r="108" ht="15.75" customHeight="1">
      <c r="A108" s="27">
        <v>57.0</v>
      </c>
      <c r="B108" s="27"/>
      <c r="C108" s="27">
        <f t="shared" si="2"/>
        <v>0</v>
      </c>
      <c r="D108" s="27">
        <v>74.0</v>
      </c>
      <c r="E108" s="27">
        <f t="shared" si="3"/>
        <v>0</v>
      </c>
      <c r="G108" s="27">
        <f t="shared" si="4"/>
        <v>0</v>
      </c>
      <c r="H108" s="27">
        <v>145.0</v>
      </c>
      <c r="I108" s="27">
        <f t="shared" si="5"/>
        <v>0</v>
      </c>
      <c r="J108" s="27">
        <v>194.0</v>
      </c>
      <c r="K108" s="27">
        <f t="shared" si="6"/>
        <v>0</v>
      </c>
      <c r="L108" s="27">
        <v>147.0</v>
      </c>
      <c r="M108" s="27">
        <f t="shared" si="7"/>
        <v>0</v>
      </c>
      <c r="O108" s="27">
        <f t="shared" si="8"/>
        <v>0</v>
      </c>
      <c r="Q108" s="27">
        <f t="shared" si="9"/>
        <v>0</v>
      </c>
      <c r="S108" s="27">
        <v>237.0</v>
      </c>
      <c r="T108" s="27">
        <v>1.0</v>
      </c>
      <c r="U108" s="27">
        <v>0.0</v>
      </c>
      <c r="V108" s="27">
        <v>0.0</v>
      </c>
      <c r="W108" s="27">
        <v>0.0</v>
      </c>
      <c r="X108" s="27">
        <v>0.0</v>
      </c>
      <c r="Y108" s="27">
        <v>0.0</v>
      </c>
      <c r="Z108" s="27">
        <v>0.0</v>
      </c>
      <c r="AA108" s="27">
        <v>0.0</v>
      </c>
      <c r="AC108" s="27">
        <v>237.0</v>
      </c>
      <c r="AD108" s="27">
        <f t="shared" ref="AD108:AK108" si="115">T108/$S$1</f>
        <v>0.004166666667</v>
      </c>
      <c r="AE108" s="27">
        <f t="shared" si="115"/>
        <v>0</v>
      </c>
      <c r="AF108" s="27">
        <f t="shared" si="115"/>
        <v>0</v>
      </c>
      <c r="AG108" s="27">
        <f t="shared" si="115"/>
        <v>0</v>
      </c>
      <c r="AH108" s="27">
        <f t="shared" si="115"/>
        <v>0</v>
      </c>
      <c r="AI108" s="27">
        <f t="shared" si="115"/>
        <v>0</v>
      </c>
      <c r="AJ108" s="27">
        <f t="shared" si="115"/>
        <v>0</v>
      </c>
      <c r="AK108" s="27">
        <f t="shared" si="115"/>
        <v>0</v>
      </c>
    </row>
    <row r="109" ht="15.75" customHeight="1">
      <c r="A109" s="27">
        <v>57.0</v>
      </c>
      <c r="B109" s="27"/>
      <c r="C109" s="27">
        <f t="shared" si="2"/>
        <v>0</v>
      </c>
      <c r="D109" s="27">
        <v>207.0</v>
      </c>
      <c r="E109" s="27">
        <f t="shared" si="3"/>
        <v>0</v>
      </c>
      <c r="G109" s="27">
        <f t="shared" si="4"/>
        <v>0</v>
      </c>
      <c r="H109" s="27">
        <v>345.0</v>
      </c>
      <c r="I109" s="27">
        <f t="shared" si="5"/>
        <v>0</v>
      </c>
      <c r="J109" s="27">
        <v>195.0</v>
      </c>
      <c r="K109" s="27">
        <f t="shared" si="6"/>
        <v>0</v>
      </c>
      <c r="L109" s="27">
        <v>148.0</v>
      </c>
      <c r="M109" s="27">
        <f t="shared" si="7"/>
        <v>0</v>
      </c>
      <c r="O109" s="27">
        <f t="shared" si="8"/>
        <v>0</v>
      </c>
      <c r="Q109" s="27">
        <f t="shared" si="9"/>
        <v>0</v>
      </c>
      <c r="S109" s="27">
        <v>239.0</v>
      </c>
      <c r="T109" s="27">
        <v>1.0</v>
      </c>
      <c r="U109" s="27">
        <v>0.0</v>
      </c>
      <c r="V109" s="27">
        <v>0.0</v>
      </c>
      <c r="W109" s="27">
        <v>0.0</v>
      </c>
      <c r="X109" s="27">
        <v>0.0</v>
      </c>
      <c r="Y109" s="27">
        <v>0.0</v>
      </c>
      <c r="Z109" s="27">
        <v>0.0</v>
      </c>
      <c r="AA109" s="27">
        <v>0.0</v>
      </c>
      <c r="AC109" s="27">
        <v>239.0</v>
      </c>
      <c r="AD109" s="27">
        <f t="shared" ref="AD109:AK109" si="116">T109/$S$1</f>
        <v>0.004166666667</v>
      </c>
      <c r="AE109" s="27">
        <f t="shared" si="116"/>
        <v>0</v>
      </c>
      <c r="AF109" s="27">
        <f t="shared" si="116"/>
        <v>0</v>
      </c>
      <c r="AG109" s="27">
        <f t="shared" si="116"/>
        <v>0</v>
      </c>
      <c r="AH109" s="27">
        <f t="shared" si="116"/>
        <v>0</v>
      </c>
      <c r="AI109" s="27">
        <f t="shared" si="116"/>
        <v>0</v>
      </c>
      <c r="AJ109" s="27">
        <f t="shared" si="116"/>
        <v>0</v>
      </c>
      <c r="AK109" s="27">
        <f t="shared" si="116"/>
        <v>0</v>
      </c>
    </row>
    <row r="110" ht="15.75" customHeight="1">
      <c r="A110" s="27">
        <v>74.0</v>
      </c>
      <c r="B110" s="27"/>
      <c r="C110" s="27">
        <f t="shared" si="2"/>
        <v>0</v>
      </c>
      <c r="D110" s="27">
        <v>17.0</v>
      </c>
      <c r="E110" s="27">
        <f t="shared" si="3"/>
        <v>0</v>
      </c>
      <c r="G110" s="27">
        <f t="shared" si="4"/>
        <v>0</v>
      </c>
      <c r="H110" s="27">
        <v>358.0</v>
      </c>
      <c r="I110" s="27">
        <f t="shared" si="5"/>
        <v>0</v>
      </c>
      <c r="J110" s="27">
        <v>195.0</v>
      </c>
      <c r="K110" s="27">
        <f t="shared" si="6"/>
        <v>0</v>
      </c>
      <c r="L110" s="27">
        <v>149.0</v>
      </c>
      <c r="M110" s="27">
        <f t="shared" si="7"/>
        <v>0</v>
      </c>
      <c r="O110" s="27">
        <f t="shared" si="8"/>
        <v>0</v>
      </c>
      <c r="Q110" s="27">
        <f t="shared" si="9"/>
        <v>0</v>
      </c>
      <c r="S110" s="27">
        <v>244.0</v>
      </c>
      <c r="T110" s="27">
        <v>1.0</v>
      </c>
      <c r="U110" s="27">
        <v>0.0</v>
      </c>
      <c r="V110" s="27">
        <v>1.0</v>
      </c>
      <c r="W110" s="27">
        <v>0.0</v>
      </c>
      <c r="X110" s="27">
        <v>1.0</v>
      </c>
      <c r="Y110" s="27">
        <v>0.0</v>
      </c>
      <c r="Z110" s="27">
        <v>0.0</v>
      </c>
      <c r="AA110" s="27">
        <v>0.0</v>
      </c>
      <c r="AC110" s="27">
        <v>244.0</v>
      </c>
      <c r="AD110" s="27">
        <f t="shared" ref="AD110:AK110" si="117">T110/$S$1</f>
        <v>0.004166666667</v>
      </c>
      <c r="AE110" s="27">
        <f t="shared" si="117"/>
        <v>0</v>
      </c>
      <c r="AF110" s="27">
        <f t="shared" si="117"/>
        <v>0.004166666667</v>
      </c>
      <c r="AG110" s="27">
        <f t="shared" si="117"/>
        <v>0</v>
      </c>
      <c r="AH110" s="27">
        <f t="shared" si="117"/>
        <v>0.004166666667</v>
      </c>
      <c r="AI110" s="27">
        <f t="shared" si="117"/>
        <v>0</v>
      </c>
      <c r="AJ110" s="27">
        <f t="shared" si="117"/>
        <v>0</v>
      </c>
      <c r="AK110" s="27">
        <f t="shared" si="117"/>
        <v>0</v>
      </c>
    </row>
    <row r="111" ht="15.75" customHeight="1">
      <c r="A111" s="27">
        <v>5.0</v>
      </c>
      <c r="B111" s="27"/>
      <c r="C111" s="27">
        <f t="shared" si="2"/>
        <v>0</v>
      </c>
      <c r="D111" s="27">
        <v>74.0</v>
      </c>
      <c r="E111" s="27">
        <f t="shared" si="3"/>
        <v>0</v>
      </c>
      <c r="G111" s="27">
        <f t="shared" si="4"/>
        <v>0</v>
      </c>
      <c r="H111" s="27">
        <v>24.0</v>
      </c>
      <c r="I111" s="27">
        <f t="shared" si="5"/>
        <v>0</v>
      </c>
      <c r="J111" s="27">
        <v>24.0</v>
      </c>
      <c r="K111" s="27">
        <f t="shared" si="6"/>
        <v>0</v>
      </c>
      <c r="L111" s="27">
        <v>150.0</v>
      </c>
      <c r="M111" s="27">
        <f t="shared" si="7"/>
        <v>0</v>
      </c>
      <c r="O111" s="27">
        <f t="shared" si="8"/>
        <v>0</v>
      </c>
      <c r="Q111" s="27">
        <f t="shared" si="9"/>
        <v>0</v>
      </c>
      <c r="S111" s="27">
        <v>247.0</v>
      </c>
      <c r="T111" s="27">
        <v>1.0</v>
      </c>
      <c r="U111" s="27">
        <v>0.0</v>
      </c>
      <c r="V111" s="27">
        <v>0.0</v>
      </c>
      <c r="W111" s="27">
        <v>0.0</v>
      </c>
      <c r="X111" s="27">
        <v>0.0</v>
      </c>
      <c r="Y111" s="27">
        <v>0.0</v>
      </c>
      <c r="Z111" s="27">
        <v>0.0</v>
      </c>
      <c r="AA111" s="27">
        <v>0.0</v>
      </c>
      <c r="AC111" s="27">
        <v>247.0</v>
      </c>
      <c r="AD111" s="27">
        <f t="shared" ref="AD111:AK111" si="118">T111/$S$1</f>
        <v>0.004166666667</v>
      </c>
      <c r="AE111" s="27">
        <f t="shared" si="118"/>
        <v>0</v>
      </c>
      <c r="AF111" s="27">
        <f t="shared" si="118"/>
        <v>0</v>
      </c>
      <c r="AG111" s="27">
        <f t="shared" si="118"/>
        <v>0</v>
      </c>
      <c r="AH111" s="27">
        <f t="shared" si="118"/>
        <v>0</v>
      </c>
      <c r="AI111" s="27">
        <f t="shared" si="118"/>
        <v>0</v>
      </c>
      <c r="AJ111" s="27">
        <f t="shared" si="118"/>
        <v>0</v>
      </c>
      <c r="AK111" s="27">
        <f t="shared" si="118"/>
        <v>0</v>
      </c>
    </row>
    <row r="112" ht="15.75" customHeight="1">
      <c r="A112" s="27">
        <v>5.0</v>
      </c>
      <c r="B112" s="27"/>
      <c r="C112" s="27">
        <f t="shared" si="2"/>
        <v>0</v>
      </c>
      <c r="D112" s="27">
        <v>23.0</v>
      </c>
      <c r="E112" s="27">
        <f t="shared" si="3"/>
        <v>0</v>
      </c>
      <c r="G112" s="27">
        <f t="shared" si="4"/>
        <v>0</v>
      </c>
      <c r="H112" s="27">
        <v>362.0</v>
      </c>
      <c r="I112" s="27">
        <f t="shared" si="5"/>
        <v>0</v>
      </c>
      <c r="J112" s="27">
        <v>200.0</v>
      </c>
      <c r="K112" s="27">
        <f t="shared" si="6"/>
        <v>0</v>
      </c>
      <c r="L112" s="27">
        <v>74.0</v>
      </c>
      <c r="M112" s="27">
        <f t="shared" si="7"/>
        <v>0</v>
      </c>
      <c r="O112" s="27">
        <f t="shared" si="8"/>
        <v>0</v>
      </c>
      <c r="Q112" s="27">
        <f t="shared" si="9"/>
        <v>0</v>
      </c>
      <c r="S112" s="27">
        <v>250.0</v>
      </c>
      <c r="T112" s="27">
        <v>4.0</v>
      </c>
      <c r="U112" s="27">
        <v>0.0</v>
      </c>
      <c r="V112" s="27">
        <v>3.0</v>
      </c>
      <c r="W112" s="27">
        <v>0.0</v>
      </c>
      <c r="X112" s="27">
        <v>2.0</v>
      </c>
      <c r="Y112" s="27">
        <v>0.0</v>
      </c>
      <c r="Z112" s="27">
        <v>0.0</v>
      </c>
      <c r="AA112" s="27">
        <v>0.0</v>
      </c>
      <c r="AC112" s="27">
        <v>250.0</v>
      </c>
      <c r="AD112" s="27">
        <f t="shared" ref="AD112:AK112" si="119">T112/$S$1</f>
        <v>0.01666666667</v>
      </c>
      <c r="AE112" s="27">
        <f t="shared" si="119"/>
        <v>0</v>
      </c>
      <c r="AF112" s="27">
        <f t="shared" si="119"/>
        <v>0.0125</v>
      </c>
      <c r="AG112" s="27">
        <f t="shared" si="119"/>
        <v>0</v>
      </c>
      <c r="AH112" s="27">
        <f t="shared" si="119"/>
        <v>0.008333333333</v>
      </c>
      <c r="AI112" s="27">
        <f t="shared" si="119"/>
        <v>0</v>
      </c>
      <c r="AJ112" s="27">
        <f t="shared" si="119"/>
        <v>0</v>
      </c>
      <c r="AK112" s="27">
        <f t="shared" si="119"/>
        <v>0</v>
      </c>
    </row>
    <row r="113" ht="15.75" customHeight="1">
      <c r="A113" s="27">
        <v>112.0</v>
      </c>
      <c r="B113" s="27"/>
      <c r="C113" s="27">
        <f t="shared" si="2"/>
        <v>0</v>
      </c>
      <c r="D113" s="27">
        <v>74.0</v>
      </c>
      <c r="E113" s="27">
        <f t="shared" si="3"/>
        <v>0</v>
      </c>
      <c r="G113" s="27">
        <f t="shared" si="4"/>
        <v>0</v>
      </c>
      <c r="H113" s="27">
        <v>258.0</v>
      </c>
      <c r="I113" s="27">
        <f t="shared" si="5"/>
        <v>0</v>
      </c>
      <c r="J113" s="27">
        <v>145.0</v>
      </c>
      <c r="K113" s="27">
        <f t="shared" si="6"/>
        <v>0</v>
      </c>
      <c r="L113" s="27">
        <v>74.0</v>
      </c>
      <c r="M113" s="27">
        <f t="shared" si="7"/>
        <v>0</v>
      </c>
      <c r="O113" s="27">
        <f t="shared" si="8"/>
        <v>0</v>
      </c>
      <c r="Q113" s="27">
        <f t="shared" si="9"/>
        <v>0</v>
      </c>
      <c r="S113" s="27">
        <v>252.0</v>
      </c>
      <c r="T113" s="27">
        <v>4.0</v>
      </c>
      <c r="U113" s="27">
        <v>0.0</v>
      </c>
      <c r="V113" s="27">
        <v>0.0</v>
      </c>
      <c r="W113" s="27">
        <v>0.0</v>
      </c>
      <c r="X113" s="27">
        <v>4.0</v>
      </c>
      <c r="Y113" s="27">
        <v>0.0</v>
      </c>
      <c r="Z113" s="27">
        <v>0.0</v>
      </c>
      <c r="AA113" s="27">
        <v>2.0</v>
      </c>
      <c r="AC113" s="27">
        <v>252.0</v>
      </c>
      <c r="AD113" s="27">
        <f t="shared" ref="AD113:AK113" si="120">T113/$S$1</f>
        <v>0.01666666667</v>
      </c>
      <c r="AE113" s="27">
        <f t="shared" si="120"/>
        <v>0</v>
      </c>
      <c r="AF113" s="27">
        <f t="shared" si="120"/>
        <v>0</v>
      </c>
      <c r="AG113" s="27">
        <f t="shared" si="120"/>
        <v>0</v>
      </c>
      <c r="AH113" s="27">
        <f t="shared" si="120"/>
        <v>0.01666666667</v>
      </c>
      <c r="AI113" s="27">
        <f t="shared" si="120"/>
        <v>0</v>
      </c>
      <c r="AJ113" s="27">
        <f t="shared" si="120"/>
        <v>0</v>
      </c>
      <c r="AK113" s="27">
        <f t="shared" si="120"/>
        <v>0.008333333333</v>
      </c>
    </row>
    <row r="114" ht="15.75" customHeight="1">
      <c r="A114" s="27">
        <v>113.0</v>
      </c>
      <c r="B114" s="27"/>
      <c r="C114" s="27">
        <f t="shared" si="2"/>
        <v>0</v>
      </c>
      <c r="D114" s="27">
        <v>74.0</v>
      </c>
      <c r="E114" s="27">
        <f t="shared" si="3"/>
        <v>0</v>
      </c>
      <c r="G114" s="27">
        <f t="shared" si="4"/>
        <v>0</v>
      </c>
      <c r="H114" s="27">
        <v>366.0</v>
      </c>
      <c r="I114" s="27">
        <f t="shared" si="5"/>
        <v>0</v>
      </c>
      <c r="J114" s="27">
        <v>144.0</v>
      </c>
      <c r="K114" s="27">
        <f t="shared" si="6"/>
        <v>0</v>
      </c>
      <c r="L114" s="27">
        <v>153.0</v>
      </c>
      <c r="M114" s="27">
        <f t="shared" si="7"/>
        <v>0</v>
      </c>
      <c r="O114" s="27">
        <f t="shared" si="8"/>
        <v>0</v>
      </c>
      <c r="Q114" s="27">
        <f t="shared" si="9"/>
        <v>0</v>
      </c>
      <c r="S114" s="27">
        <v>258.0</v>
      </c>
      <c r="T114" s="27">
        <v>5.0</v>
      </c>
      <c r="U114" s="27">
        <v>2.0</v>
      </c>
      <c r="V114" s="27">
        <v>2.0</v>
      </c>
      <c r="W114" s="27">
        <v>0.0</v>
      </c>
      <c r="X114" s="27">
        <v>2.0</v>
      </c>
      <c r="Y114" s="27">
        <v>1.0</v>
      </c>
      <c r="Z114" s="27">
        <v>0.0</v>
      </c>
      <c r="AA114" s="27">
        <v>0.0</v>
      </c>
      <c r="AC114" s="27">
        <v>258.0</v>
      </c>
      <c r="AD114" s="27">
        <f t="shared" ref="AD114:AK114" si="121">T114/$S$1</f>
        <v>0.02083333333</v>
      </c>
      <c r="AE114" s="27">
        <f t="shared" si="121"/>
        <v>0.008333333333</v>
      </c>
      <c r="AF114" s="27">
        <f t="shared" si="121"/>
        <v>0.008333333333</v>
      </c>
      <c r="AG114" s="27">
        <f t="shared" si="121"/>
        <v>0</v>
      </c>
      <c r="AH114" s="27">
        <f t="shared" si="121"/>
        <v>0.008333333333</v>
      </c>
      <c r="AI114" s="27">
        <f t="shared" si="121"/>
        <v>0.004166666667</v>
      </c>
      <c r="AJ114" s="27">
        <f t="shared" si="121"/>
        <v>0</v>
      </c>
      <c r="AK114" s="27">
        <f t="shared" si="121"/>
        <v>0</v>
      </c>
    </row>
    <row r="115" ht="15.75" customHeight="1">
      <c r="A115" s="27">
        <v>19.0</v>
      </c>
      <c r="B115" s="27"/>
      <c r="C115" s="27">
        <f t="shared" si="2"/>
        <v>0</v>
      </c>
      <c r="D115" s="27">
        <v>74.0</v>
      </c>
      <c r="E115" s="27">
        <f t="shared" si="3"/>
        <v>0</v>
      </c>
      <c r="G115" s="27">
        <f t="shared" si="4"/>
        <v>0</v>
      </c>
      <c r="H115" s="27">
        <v>221.0</v>
      </c>
      <c r="I115" s="27">
        <f t="shared" si="5"/>
        <v>0</v>
      </c>
      <c r="J115" s="27">
        <v>17.0</v>
      </c>
      <c r="K115" s="27">
        <f t="shared" si="6"/>
        <v>0</v>
      </c>
      <c r="L115" s="27">
        <v>17.0</v>
      </c>
      <c r="M115" s="27">
        <f t="shared" si="7"/>
        <v>0</v>
      </c>
      <c r="O115" s="27">
        <f t="shared" si="8"/>
        <v>0</v>
      </c>
      <c r="Q115" s="27">
        <f t="shared" si="9"/>
        <v>0</v>
      </c>
      <c r="S115" s="27">
        <v>264.0</v>
      </c>
      <c r="T115" s="27">
        <v>9.0</v>
      </c>
      <c r="U115" s="27">
        <v>0.0</v>
      </c>
      <c r="V115" s="27">
        <v>0.0</v>
      </c>
      <c r="W115" s="27">
        <v>0.0</v>
      </c>
      <c r="X115" s="27">
        <v>2.0</v>
      </c>
      <c r="Y115" s="27">
        <v>9.0</v>
      </c>
      <c r="Z115" s="27">
        <v>0.0</v>
      </c>
      <c r="AA115" s="27">
        <v>0.0</v>
      </c>
      <c r="AC115" s="27">
        <v>264.0</v>
      </c>
      <c r="AD115" s="27">
        <f t="shared" ref="AD115:AK115" si="122">T115/$S$1</f>
        <v>0.0375</v>
      </c>
      <c r="AE115" s="27">
        <f t="shared" si="122"/>
        <v>0</v>
      </c>
      <c r="AF115" s="27">
        <f t="shared" si="122"/>
        <v>0</v>
      </c>
      <c r="AG115" s="27">
        <f t="shared" si="122"/>
        <v>0</v>
      </c>
      <c r="AH115" s="27">
        <f t="shared" si="122"/>
        <v>0.008333333333</v>
      </c>
      <c r="AI115" s="27">
        <f t="shared" si="122"/>
        <v>0.0375</v>
      </c>
      <c r="AJ115" s="27">
        <f t="shared" si="122"/>
        <v>0</v>
      </c>
      <c r="AK115" s="27">
        <f t="shared" si="122"/>
        <v>0</v>
      </c>
    </row>
    <row r="116" ht="15.75" customHeight="1">
      <c r="A116" s="27">
        <v>115.0</v>
      </c>
      <c r="B116" s="27"/>
      <c r="C116" s="27">
        <f t="shared" si="2"/>
        <v>0</v>
      </c>
      <c r="D116" s="27">
        <v>42.0</v>
      </c>
      <c r="E116" s="27">
        <f t="shared" si="3"/>
        <v>0</v>
      </c>
      <c r="G116" s="27">
        <f t="shared" si="4"/>
        <v>0</v>
      </c>
      <c r="H116" s="27">
        <v>52.0</v>
      </c>
      <c r="I116" s="27">
        <f t="shared" si="5"/>
        <v>0</v>
      </c>
      <c r="J116" s="27">
        <v>211.0</v>
      </c>
      <c r="K116" s="27">
        <f t="shared" si="6"/>
        <v>0</v>
      </c>
      <c r="L116" s="27">
        <v>120.0</v>
      </c>
      <c r="M116" s="27">
        <f t="shared" si="7"/>
        <v>0</v>
      </c>
      <c r="O116" s="27">
        <f t="shared" si="8"/>
        <v>0</v>
      </c>
      <c r="Q116" s="27">
        <f t="shared" si="9"/>
        <v>0</v>
      </c>
      <c r="S116" s="27">
        <v>269.0</v>
      </c>
      <c r="T116" s="27">
        <v>2.0</v>
      </c>
      <c r="U116" s="27">
        <v>1.0</v>
      </c>
      <c r="V116" s="27">
        <v>2.0</v>
      </c>
      <c r="W116" s="27">
        <v>0.0</v>
      </c>
      <c r="X116" s="27">
        <v>2.0</v>
      </c>
      <c r="Y116" s="27">
        <v>2.0</v>
      </c>
      <c r="Z116" s="27">
        <v>1.0</v>
      </c>
      <c r="AA116" s="27">
        <v>1.0</v>
      </c>
      <c r="AC116" s="27">
        <v>269.0</v>
      </c>
      <c r="AD116" s="27">
        <f t="shared" ref="AD116:AK116" si="123">T116/$S$1</f>
        <v>0.008333333333</v>
      </c>
      <c r="AE116" s="27">
        <f t="shared" si="123"/>
        <v>0.004166666667</v>
      </c>
      <c r="AF116" s="27">
        <f t="shared" si="123"/>
        <v>0.008333333333</v>
      </c>
      <c r="AG116" s="27">
        <f t="shared" si="123"/>
        <v>0</v>
      </c>
      <c r="AH116" s="27">
        <f t="shared" si="123"/>
        <v>0.008333333333</v>
      </c>
      <c r="AI116" s="27">
        <f t="shared" si="123"/>
        <v>0.008333333333</v>
      </c>
      <c r="AJ116" s="27">
        <f t="shared" si="123"/>
        <v>0.004166666667</v>
      </c>
      <c r="AK116" s="27">
        <f t="shared" si="123"/>
        <v>0.004166666667</v>
      </c>
    </row>
    <row r="117" ht="15.75" customHeight="1">
      <c r="A117" s="27">
        <v>116.0</v>
      </c>
      <c r="B117" s="27"/>
      <c r="C117" s="27">
        <f t="shared" si="2"/>
        <v>0</v>
      </c>
      <c r="D117" s="27">
        <v>43.0</v>
      </c>
      <c r="E117" s="27">
        <f t="shared" si="3"/>
        <v>0</v>
      </c>
      <c r="G117" s="27">
        <f t="shared" si="4"/>
        <v>0</v>
      </c>
      <c r="H117" s="27">
        <v>127.0</v>
      </c>
      <c r="I117" s="27">
        <f t="shared" si="5"/>
        <v>0</v>
      </c>
      <c r="J117" s="27">
        <v>50.0</v>
      </c>
      <c r="K117" s="27">
        <f t="shared" si="6"/>
        <v>0</v>
      </c>
      <c r="L117" s="27">
        <v>66.0</v>
      </c>
      <c r="M117" s="27">
        <f t="shared" si="7"/>
        <v>0</v>
      </c>
      <c r="O117" s="27">
        <f t="shared" si="8"/>
        <v>0</v>
      </c>
      <c r="Q117" s="27">
        <f t="shared" si="9"/>
        <v>0</v>
      </c>
      <c r="S117" s="27">
        <v>271.0</v>
      </c>
      <c r="T117" s="27">
        <v>5.0</v>
      </c>
      <c r="U117" s="27">
        <v>0.0</v>
      </c>
      <c r="V117" s="27">
        <v>2.0</v>
      </c>
      <c r="W117" s="27">
        <v>0.0</v>
      </c>
      <c r="X117" s="27">
        <v>0.0</v>
      </c>
      <c r="Y117" s="27">
        <v>0.0</v>
      </c>
      <c r="Z117" s="27">
        <v>0.0</v>
      </c>
      <c r="AA117" s="27">
        <v>0.0</v>
      </c>
      <c r="AC117" s="27">
        <v>271.0</v>
      </c>
      <c r="AD117" s="27">
        <f t="shared" ref="AD117:AK117" si="124">T117/$S$1</f>
        <v>0.02083333333</v>
      </c>
      <c r="AE117" s="27">
        <f t="shared" si="124"/>
        <v>0</v>
      </c>
      <c r="AF117" s="27">
        <f t="shared" si="124"/>
        <v>0.008333333333</v>
      </c>
      <c r="AG117" s="27">
        <f t="shared" si="124"/>
        <v>0</v>
      </c>
      <c r="AH117" s="27">
        <f t="shared" si="124"/>
        <v>0</v>
      </c>
      <c r="AI117" s="27">
        <f t="shared" si="124"/>
        <v>0</v>
      </c>
      <c r="AJ117" s="27">
        <f t="shared" si="124"/>
        <v>0</v>
      </c>
      <c r="AK117" s="27">
        <f t="shared" si="124"/>
        <v>0</v>
      </c>
    </row>
    <row r="118" ht="15.75" customHeight="1">
      <c r="A118" s="27">
        <v>43.0</v>
      </c>
      <c r="B118" s="27"/>
      <c r="C118" s="27">
        <f t="shared" si="2"/>
        <v>0</v>
      </c>
      <c r="D118" s="27">
        <v>120.0</v>
      </c>
      <c r="E118" s="27">
        <f t="shared" si="3"/>
        <v>0</v>
      </c>
      <c r="G118" s="27">
        <f t="shared" si="4"/>
        <v>0</v>
      </c>
      <c r="H118" s="27">
        <v>258.0</v>
      </c>
      <c r="I118" s="27">
        <f t="shared" si="5"/>
        <v>0</v>
      </c>
      <c r="J118" s="27">
        <v>218.0</v>
      </c>
      <c r="K118" s="27">
        <f t="shared" si="6"/>
        <v>0</v>
      </c>
      <c r="L118" s="27">
        <v>158.0</v>
      </c>
      <c r="M118" s="27">
        <f t="shared" si="7"/>
        <v>0</v>
      </c>
      <c r="O118" s="27">
        <f t="shared" si="8"/>
        <v>0</v>
      </c>
      <c r="Q118" s="27">
        <f t="shared" si="9"/>
        <v>0</v>
      </c>
      <c r="S118" s="27">
        <v>274.0</v>
      </c>
      <c r="T118" s="27">
        <v>1.0</v>
      </c>
      <c r="U118" s="27">
        <v>0.0</v>
      </c>
      <c r="V118" s="27">
        <v>1.0</v>
      </c>
      <c r="W118" s="27">
        <v>0.0</v>
      </c>
      <c r="X118" s="27">
        <v>0.0</v>
      </c>
      <c r="Y118" s="27">
        <v>0.0</v>
      </c>
      <c r="Z118" s="27">
        <v>0.0</v>
      </c>
      <c r="AA118" s="27">
        <v>0.0</v>
      </c>
      <c r="AC118" s="27">
        <v>274.0</v>
      </c>
      <c r="AD118" s="27">
        <f t="shared" ref="AD118:AK118" si="125">T118/$S$1</f>
        <v>0.004166666667</v>
      </c>
      <c r="AE118" s="27">
        <f t="shared" si="125"/>
        <v>0</v>
      </c>
      <c r="AF118" s="27">
        <f t="shared" si="125"/>
        <v>0.004166666667</v>
      </c>
      <c r="AG118" s="27">
        <f t="shared" si="125"/>
        <v>0</v>
      </c>
      <c r="AH118" s="27">
        <f t="shared" si="125"/>
        <v>0</v>
      </c>
      <c r="AI118" s="27">
        <f t="shared" si="125"/>
        <v>0</v>
      </c>
      <c r="AJ118" s="27">
        <f t="shared" si="125"/>
        <v>0</v>
      </c>
      <c r="AK118" s="27">
        <f t="shared" si="125"/>
        <v>0</v>
      </c>
    </row>
    <row r="119" ht="15.75" customHeight="1">
      <c r="A119" s="27">
        <v>118.0</v>
      </c>
      <c r="B119" s="27"/>
      <c r="C119" s="27">
        <f t="shared" si="2"/>
        <v>0</v>
      </c>
      <c r="D119" s="27">
        <v>120.0</v>
      </c>
      <c r="E119" s="27">
        <f t="shared" si="3"/>
        <v>0</v>
      </c>
      <c r="G119" s="27">
        <f t="shared" si="4"/>
        <v>0</v>
      </c>
      <c r="H119" s="27">
        <v>25.0</v>
      </c>
      <c r="I119" s="27">
        <f t="shared" si="5"/>
        <v>0</v>
      </c>
      <c r="J119" s="27">
        <v>221.0</v>
      </c>
      <c r="K119" s="27">
        <f t="shared" si="6"/>
        <v>0</v>
      </c>
      <c r="L119" s="27">
        <v>52.0</v>
      </c>
      <c r="M119" s="27">
        <f t="shared" si="7"/>
        <v>0</v>
      </c>
      <c r="O119" s="27">
        <f t="shared" si="8"/>
        <v>0</v>
      </c>
      <c r="Q119" s="27">
        <f t="shared" si="9"/>
        <v>0</v>
      </c>
      <c r="S119" s="27">
        <v>277.0</v>
      </c>
      <c r="T119" s="27">
        <v>1.0</v>
      </c>
      <c r="U119" s="27">
        <v>0.0</v>
      </c>
      <c r="V119" s="27">
        <v>1.0</v>
      </c>
      <c r="W119" s="27">
        <v>0.0</v>
      </c>
      <c r="X119" s="27">
        <v>1.0</v>
      </c>
      <c r="Y119" s="27">
        <v>0.0</v>
      </c>
      <c r="Z119" s="27">
        <v>0.0</v>
      </c>
      <c r="AA119" s="27">
        <v>0.0</v>
      </c>
      <c r="AC119" s="27">
        <v>277.0</v>
      </c>
      <c r="AD119" s="27">
        <f t="shared" ref="AD119:AK119" si="126">T119/$S$1</f>
        <v>0.004166666667</v>
      </c>
      <c r="AE119" s="27">
        <f t="shared" si="126"/>
        <v>0</v>
      </c>
      <c r="AF119" s="27">
        <f t="shared" si="126"/>
        <v>0.004166666667</v>
      </c>
      <c r="AG119" s="27">
        <f t="shared" si="126"/>
        <v>0</v>
      </c>
      <c r="AH119" s="27">
        <f t="shared" si="126"/>
        <v>0.004166666667</v>
      </c>
      <c r="AI119" s="27">
        <f t="shared" si="126"/>
        <v>0</v>
      </c>
      <c r="AJ119" s="27">
        <f t="shared" si="126"/>
        <v>0</v>
      </c>
      <c r="AK119" s="27">
        <f t="shared" si="126"/>
        <v>0</v>
      </c>
    </row>
    <row r="120" ht="15.75" customHeight="1">
      <c r="A120" s="27">
        <v>43.0</v>
      </c>
      <c r="B120" s="27"/>
      <c r="C120" s="27">
        <f t="shared" si="2"/>
        <v>0</v>
      </c>
      <c r="D120" s="27">
        <v>130.0</v>
      </c>
      <c r="E120" s="27">
        <f t="shared" si="3"/>
        <v>0</v>
      </c>
      <c r="G120" s="27">
        <f t="shared" si="4"/>
        <v>0</v>
      </c>
      <c r="H120" s="27">
        <v>417.0</v>
      </c>
      <c r="I120" s="27">
        <f t="shared" si="5"/>
        <v>0</v>
      </c>
      <c r="J120" s="27">
        <v>120.0</v>
      </c>
      <c r="K120" s="27">
        <f t="shared" si="6"/>
        <v>0</v>
      </c>
      <c r="L120" s="27">
        <v>74.0</v>
      </c>
      <c r="M120" s="27">
        <f t="shared" si="7"/>
        <v>0</v>
      </c>
      <c r="O120" s="27">
        <f t="shared" si="8"/>
        <v>0</v>
      </c>
      <c r="Q120" s="27">
        <f t="shared" si="9"/>
        <v>0</v>
      </c>
      <c r="S120" s="27">
        <v>278.0</v>
      </c>
      <c r="T120" s="27">
        <v>1.0</v>
      </c>
      <c r="U120" s="27">
        <v>0.0</v>
      </c>
      <c r="V120" s="27">
        <v>0.0</v>
      </c>
      <c r="W120" s="27">
        <v>0.0</v>
      </c>
      <c r="X120" s="27">
        <v>0.0</v>
      </c>
      <c r="Y120" s="27">
        <v>0.0</v>
      </c>
      <c r="Z120" s="27">
        <v>0.0</v>
      </c>
      <c r="AA120" s="27">
        <v>0.0</v>
      </c>
      <c r="AC120" s="27">
        <v>278.0</v>
      </c>
      <c r="AD120" s="27">
        <f t="shared" ref="AD120:AK120" si="127">T120/$S$1</f>
        <v>0.004166666667</v>
      </c>
      <c r="AE120" s="27">
        <f t="shared" si="127"/>
        <v>0</v>
      </c>
      <c r="AF120" s="27">
        <f t="shared" si="127"/>
        <v>0</v>
      </c>
      <c r="AG120" s="27">
        <f t="shared" si="127"/>
        <v>0</v>
      </c>
      <c r="AH120" s="27">
        <f t="shared" si="127"/>
        <v>0</v>
      </c>
      <c r="AI120" s="27">
        <f t="shared" si="127"/>
        <v>0</v>
      </c>
      <c r="AJ120" s="27">
        <f t="shared" si="127"/>
        <v>0</v>
      </c>
      <c r="AK120" s="27">
        <f t="shared" si="127"/>
        <v>0</v>
      </c>
    </row>
    <row r="121" ht="15.75" customHeight="1">
      <c r="A121" s="27">
        <v>120.0</v>
      </c>
      <c r="B121" s="27"/>
      <c r="C121" s="27">
        <f t="shared" si="2"/>
        <v>0</v>
      </c>
      <c r="D121" s="27">
        <v>232.0</v>
      </c>
      <c r="E121" s="27">
        <f t="shared" si="3"/>
        <v>0</v>
      </c>
      <c r="G121" s="27">
        <f t="shared" si="4"/>
        <v>0</v>
      </c>
      <c r="H121" s="27">
        <v>424.0</v>
      </c>
      <c r="I121" s="27">
        <f t="shared" si="5"/>
        <v>0</v>
      </c>
      <c r="J121" s="27">
        <v>227.0</v>
      </c>
      <c r="K121" s="27">
        <f t="shared" si="6"/>
        <v>0</v>
      </c>
      <c r="L121" s="27">
        <v>25.0</v>
      </c>
      <c r="M121" s="27">
        <f t="shared" si="7"/>
        <v>0</v>
      </c>
      <c r="O121" s="27">
        <f t="shared" si="8"/>
        <v>0</v>
      </c>
      <c r="Q121" s="27">
        <f t="shared" si="9"/>
        <v>0</v>
      </c>
      <c r="S121" s="27">
        <v>280.0</v>
      </c>
      <c r="T121" s="27">
        <v>1.0</v>
      </c>
      <c r="U121" s="27">
        <v>0.0</v>
      </c>
      <c r="V121" s="27">
        <v>0.0</v>
      </c>
      <c r="W121" s="27">
        <v>0.0</v>
      </c>
      <c r="X121" s="27">
        <v>1.0</v>
      </c>
      <c r="Y121" s="27">
        <v>1.0</v>
      </c>
      <c r="Z121" s="27">
        <v>0.0</v>
      </c>
      <c r="AA121" s="27">
        <v>0.0</v>
      </c>
      <c r="AC121" s="27">
        <v>280.0</v>
      </c>
      <c r="AD121" s="27">
        <f t="shared" ref="AD121:AK121" si="128">T121/$S$1</f>
        <v>0.004166666667</v>
      </c>
      <c r="AE121" s="27">
        <f t="shared" si="128"/>
        <v>0</v>
      </c>
      <c r="AF121" s="27">
        <f t="shared" si="128"/>
        <v>0</v>
      </c>
      <c r="AG121" s="27">
        <f t="shared" si="128"/>
        <v>0</v>
      </c>
      <c r="AH121" s="27">
        <f t="shared" si="128"/>
        <v>0.004166666667</v>
      </c>
      <c r="AI121" s="27">
        <f t="shared" si="128"/>
        <v>0.004166666667</v>
      </c>
      <c r="AJ121" s="27">
        <f t="shared" si="128"/>
        <v>0</v>
      </c>
      <c r="AK121" s="27">
        <f t="shared" si="128"/>
        <v>0</v>
      </c>
    </row>
    <row r="122" ht="15.75" customHeight="1">
      <c r="A122" s="27">
        <v>120.0</v>
      </c>
      <c r="B122" s="27"/>
      <c r="C122" s="27">
        <f t="shared" si="2"/>
        <v>0</v>
      </c>
      <c r="D122" s="27">
        <v>233.0</v>
      </c>
      <c r="E122" s="27">
        <f t="shared" si="3"/>
        <v>0</v>
      </c>
      <c r="G122" s="27">
        <f t="shared" si="4"/>
        <v>0</v>
      </c>
      <c r="H122" s="27">
        <v>445.0</v>
      </c>
      <c r="I122" s="27">
        <f t="shared" si="5"/>
        <v>0</v>
      </c>
      <c r="J122" s="27">
        <v>232.0</v>
      </c>
      <c r="K122" s="27">
        <f t="shared" si="6"/>
        <v>0</v>
      </c>
      <c r="L122" s="27">
        <v>25.0</v>
      </c>
      <c r="M122" s="27">
        <f t="shared" si="7"/>
        <v>0</v>
      </c>
      <c r="O122" s="27">
        <f t="shared" si="8"/>
        <v>0</v>
      </c>
      <c r="Q122" s="27">
        <f t="shared" si="9"/>
        <v>0</v>
      </c>
      <c r="S122" s="27">
        <v>281.0</v>
      </c>
      <c r="T122" s="27">
        <v>1.0</v>
      </c>
      <c r="U122" s="27">
        <v>0.0</v>
      </c>
      <c r="V122" s="27">
        <v>0.0</v>
      </c>
      <c r="W122" s="27">
        <v>0.0</v>
      </c>
      <c r="X122" s="27">
        <v>1.0</v>
      </c>
      <c r="Y122" s="27">
        <v>1.0</v>
      </c>
      <c r="Z122" s="27">
        <v>0.0</v>
      </c>
      <c r="AA122" s="27">
        <v>0.0</v>
      </c>
      <c r="AC122" s="27">
        <v>281.0</v>
      </c>
      <c r="AD122" s="27">
        <f t="shared" ref="AD122:AK122" si="129">T122/$S$1</f>
        <v>0.004166666667</v>
      </c>
      <c r="AE122" s="27">
        <f t="shared" si="129"/>
        <v>0</v>
      </c>
      <c r="AF122" s="27">
        <f t="shared" si="129"/>
        <v>0</v>
      </c>
      <c r="AG122" s="27">
        <f t="shared" si="129"/>
        <v>0</v>
      </c>
      <c r="AH122" s="27">
        <f t="shared" si="129"/>
        <v>0.004166666667</v>
      </c>
      <c r="AI122" s="27">
        <f t="shared" si="129"/>
        <v>0.004166666667</v>
      </c>
      <c r="AJ122" s="27">
        <f t="shared" si="129"/>
        <v>0</v>
      </c>
      <c r="AK122" s="27">
        <f t="shared" si="129"/>
        <v>0</v>
      </c>
    </row>
    <row r="123" ht="15.75" customHeight="1">
      <c r="A123" s="27">
        <v>120.0</v>
      </c>
      <c r="B123" s="27"/>
      <c r="C123" s="27">
        <f t="shared" si="2"/>
        <v>0</v>
      </c>
      <c r="D123" s="27">
        <v>58.0</v>
      </c>
      <c r="E123" s="27">
        <f t="shared" si="3"/>
        <v>0</v>
      </c>
      <c r="G123" s="27">
        <f t="shared" si="4"/>
        <v>0</v>
      </c>
      <c r="H123" s="27">
        <v>345.0</v>
      </c>
      <c r="I123" s="27">
        <f t="shared" si="5"/>
        <v>0</v>
      </c>
      <c r="J123" s="27">
        <v>233.0</v>
      </c>
      <c r="K123" s="27">
        <f t="shared" si="6"/>
        <v>0</v>
      </c>
      <c r="L123" s="27">
        <v>12.0</v>
      </c>
      <c r="M123" s="27">
        <f t="shared" si="7"/>
        <v>0</v>
      </c>
      <c r="O123" s="27">
        <f t="shared" si="8"/>
        <v>0</v>
      </c>
      <c r="Q123" s="27">
        <f t="shared" si="9"/>
        <v>0</v>
      </c>
      <c r="S123" s="27">
        <v>282.0</v>
      </c>
      <c r="T123" s="27">
        <v>2.0</v>
      </c>
      <c r="U123" s="27">
        <v>0.0</v>
      </c>
      <c r="V123" s="27">
        <v>2.0</v>
      </c>
      <c r="W123" s="27">
        <v>0.0</v>
      </c>
      <c r="X123" s="27">
        <v>0.0</v>
      </c>
      <c r="Y123" s="27">
        <v>0.0</v>
      </c>
      <c r="Z123" s="27">
        <v>0.0</v>
      </c>
      <c r="AA123" s="27">
        <v>0.0</v>
      </c>
      <c r="AC123" s="27">
        <v>282.0</v>
      </c>
      <c r="AD123" s="27">
        <f t="shared" ref="AD123:AK123" si="130">T123/$S$1</f>
        <v>0.008333333333</v>
      </c>
      <c r="AE123" s="27">
        <f t="shared" si="130"/>
        <v>0</v>
      </c>
      <c r="AF123" s="27">
        <f t="shared" si="130"/>
        <v>0.008333333333</v>
      </c>
      <c r="AG123" s="27">
        <f t="shared" si="130"/>
        <v>0</v>
      </c>
      <c r="AH123" s="27">
        <f t="shared" si="130"/>
        <v>0</v>
      </c>
      <c r="AI123" s="27">
        <f t="shared" si="130"/>
        <v>0</v>
      </c>
      <c r="AJ123" s="27">
        <f t="shared" si="130"/>
        <v>0</v>
      </c>
      <c r="AK123" s="27">
        <f t="shared" si="130"/>
        <v>0</v>
      </c>
    </row>
    <row r="124" ht="15.75" customHeight="1">
      <c r="A124" s="27">
        <v>123.0</v>
      </c>
      <c r="B124" s="27"/>
      <c r="C124" s="27">
        <f t="shared" si="2"/>
        <v>0</v>
      </c>
      <c r="D124" s="27">
        <v>58.0</v>
      </c>
      <c r="E124" s="27">
        <f t="shared" si="3"/>
        <v>0</v>
      </c>
      <c r="G124" s="27">
        <f t="shared" si="4"/>
        <v>0</v>
      </c>
      <c r="H124" s="27">
        <v>455.0</v>
      </c>
      <c r="I124" s="27">
        <f t="shared" si="5"/>
        <v>0</v>
      </c>
      <c r="J124" s="27">
        <v>148.0</v>
      </c>
      <c r="K124" s="27">
        <f t="shared" si="6"/>
        <v>0</v>
      </c>
      <c r="L124" s="27">
        <v>66.0</v>
      </c>
      <c r="M124" s="27">
        <f t="shared" si="7"/>
        <v>0</v>
      </c>
      <c r="O124" s="27">
        <f t="shared" si="8"/>
        <v>0</v>
      </c>
      <c r="Q124" s="27">
        <f t="shared" si="9"/>
        <v>0</v>
      </c>
      <c r="S124" s="27">
        <v>283.0</v>
      </c>
      <c r="T124" s="27">
        <v>1.0</v>
      </c>
      <c r="U124" s="27">
        <v>0.0</v>
      </c>
      <c r="V124" s="27">
        <v>0.0</v>
      </c>
      <c r="W124" s="27">
        <v>0.0</v>
      </c>
      <c r="X124" s="27">
        <v>1.0</v>
      </c>
      <c r="Y124" s="27">
        <v>0.0</v>
      </c>
      <c r="Z124" s="27">
        <v>0.0</v>
      </c>
      <c r="AA124" s="27">
        <v>0.0</v>
      </c>
      <c r="AC124" s="27">
        <v>283.0</v>
      </c>
      <c r="AD124" s="27">
        <f t="shared" ref="AD124:AK124" si="131">T124/$S$1</f>
        <v>0.004166666667</v>
      </c>
      <c r="AE124" s="27">
        <f t="shared" si="131"/>
        <v>0</v>
      </c>
      <c r="AF124" s="27">
        <f t="shared" si="131"/>
        <v>0</v>
      </c>
      <c r="AG124" s="27">
        <f t="shared" si="131"/>
        <v>0</v>
      </c>
      <c r="AH124" s="27">
        <f t="shared" si="131"/>
        <v>0.004166666667</v>
      </c>
      <c r="AI124" s="27">
        <f t="shared" si="131"/>
        <v>0</v>
      </c>
      <c r="AJ124" s="27">
        <f t="shared" si="131"/>
        <v>0</v>
      </c>
      <c r="AK124" s="27">
        <f t="shared" si="131"/>
        <v>0</v>
      </c>
    </row>
    <row r="125" ht="15.75" customHeight="1">
      <c r="A125" s="27">
        <v>120.0</v>
      </c>
      <c r="B125" s="27"/>
      <c r="C125" s="27">
        <f t="shared" si="2"/>
        <v>0</v>
      </c>
      <c r="D125" s="27">
        <v>127.0</v>
      </c>
      <c r="E125" s="27">
        <f t="shared" si="3"/>
        <v>0</v>
      </c>
      <c r="G125" s="27">
        <f t="shared" si="4"/>
        <v>0</v>
      </c>
      <c r="H125" s="27">
        <v>313.0</v>
      </c>
      <c r="I125" s="27">
        <f t="shared" si="5"/>
        <v>0</v>
      </c>
      <c r="J125" s="27">
        <v>66.0</v>
      </c>
      <c r="K125" s="27">
        <f t="shared" si="6"/>
        <v>0</v>
      </c>
      <c r="L125" s="27">
        <v>57.0</v>
      </c>
      <c r="M125" s="27">
        <f t="shared" si="7"/>
        <v>0</v>
      </c>
      <c r="O125" s="27">
        <f t="shared" si="8"/>
        <v>0</v>
      </c>
      <c r="Q125" s="27">
        <f t="shared" si="9"/>
        <v>0</v>
      </c>
      <c r="S125" s="27">
        <v>284.0</v>
      </c>
      <c r="T125" s="27">
        <v>2.0</v>
      </c>
      <c r="U125" s="27">
        <v>0.0</v>
      </c>
      <c r="V125" s="27">
        <v>1.0</v>
      </c>
      <c r="W125" s="27">
        <v>0.0</v>
      </c>
      <c r="X125" s="27">
        <v>0.0</v>
      </c>
      <c r="Y125" s="27">
        <v>2.0</v>
      </c>
      <c r="Z125" s="27">
        <v>0.0</v>
      </c>
      <c r="AA125" s="27">
        <v>0.0</v>
      </c>
      <c r="AC125" s="27">
        <v>284.0</v>
      </c>
      <c r="AD125" s="27">
        <f t="shared" ref="AD125:AK125" si="132">T125/$S$1</f>
        <v>0.008333333333</v>
      </c>
      <c r="AE125" s="27">
        <f t="shared" si="132"/>
        <v>0</v>
      </c>
      <c r="AF125" s="27">
        <f t="shared" si="132"/>
        <v>0.004166666667</v>
      </c>
      <c r="AG125" s="27">
        <f t="shared" si="132"/>
        <v>0</v>
      </c>
      <c r="AH125" s="27">
        <f t="shared" si="132"/>
        <v>0</v>
      </c>
      <c r="AI125" s="27">
        <f t="shared" si="132"/>
        <v>0.008333333333</v>
      </c>
      <c r="AJ125" s="27">
        <f t="shared" si="132"/>
        <v>0</v>
      </c>
      <c r="AK125" s="27">
        <f t="shared" si="132"/>
        <v>0</v>
      </c>
    </row>
    <row r="126" ht="15.75" customHeight="1">
      <c r="A126" s="27">
        <v>125.0</v>
      </c>
      <c r="B126" s="27"/>
      <c r="C126" s="27">
        <f t="shared" si="2"/>
        <v>0</v>
      </c>
      <c r="D126" s="27">
        <v>43.0</v>
      </c>
      <c r="E126" s="27">
        <f t="shared" si="3"/>
        <v>0</v>
      </c>
      <c r="G126" s="27">
        <f t="shared" si="4"/>
        <v>0</v>
      </c>
      <c r="H126" s="27">
        <v>319.0</v>
      </c>
      <c r="I126" s="27">
        <f t="shared" si="5"/>
        <v>0</v>
      </c>
      <c r="J126" s="27">
        <v>66.0</v>
      </c>
      <c r="K126" s="27">
        <f t="shared" si="6"/>
        <v>0</v>
      </c>
      <c r="L126" s="27">
        <v>74.0</v>
      </c>
      <c r="M126" s="27">
        <f t="shared" si="7"/>
        <v>0</v>
      </c>
      <c r="O126" s="27">
        <f t="shared" si="8"/>
        <v>0</v>
      </c>
      <c r="Q126" s="27">
        <f t="shared" si="9"/>
        <v>0</v>
      </c>
      <c r="S126" s="27">
        <v>286.0</v>
      </c>
      <c r="T126" s="27">
        <v>3.0</v>
      </c>
      <c r="U126" s="27">
        <v>0.0</v>
      </c>
      <c r="V126" s="27">
        <v>0.0</v>
      </c>
      <c r="W126" s="27">
        <v>0.0</v>
      </c>
      <c r="X126" s="27">
        <v>0.0</v>
      </c>
      <c r="Y126" s="27">
        <v>0.0</v>
      </c>
      <c r="Z126" s="27">
        <v>0.0</v>
      </c>
      <c r="AA126" s="27">
        <v>0.0</v>
      </c>
      <c r="AC126" s="27">
        <v>286.0</v>
      </c>
      <c r="AD126" s="27">
        <f t="shared" ref="AD126:AK126" si="133">T126/$S$1</f>
        <v>0.0125</v>
      </c>
      <c r="AE126" s="27">
        <f t="shared" si="133"/>
        <v>0</v>
      </c>
      <c r="AF126" s="27">
        <f t="shared" si="133"/>
        <v>0</v>
      </c>
      <c r="AG126" s="27">
        <f t="shared" si="133"/>
        <v>0</v>
      </c>
      <c r="AH126" s="27">
        <f t="shared" si="133"/>
        <v>0</v>
      </c>
      <c r="AI126" s="27">
        <f t="shared" si="133"/>
        <v>0</v>
      </c>
      <c r="AJ126" s="27">
        <f t="shared" si="133"/>
        <v>0</v>
      </c>
      <c r="AK126" s="27">
        <f t="shared" si="133"/>
        <v>0</v>
      </c>
    </row>
    <row r="127" ht="15.75" customHeight="1">
      <c r="A127" s="27">
        <v>120.0</v>
      </c>
      <c r="B127" s="27"/>
      <c r="C127" s="27">
        <f t="shared" si="2"/>
        <v>0</v>
      </c>
      <c r="D127" s="27">
        <v>132.0</v>
      </c>
      <c r="E127" s="27">
        <f t="shared" si="3"/>
        <v>0</v>
      </c>
      <c r="G127" s="27">
        <f t="shared" si="4"/>
        <v>0</v>
      </c>
      <c r="H127" s="27">
        <v>148.0</v>
      </c>
      <c r="I127" s="27">
        <f t="shared" si="5"/>
        <v>0</v>
      </c>
      <c r="J127" s="27">
        <v>58.0</v>
      </c>
      <c r="K127" s="27">
        <f t="shared" si="6"/>
        <v>0</v>
      </c>
      <c r="L127" s="27">
        <v>23.0</v>
      </c>
      <c r="M127" s="27">
        <f t="shared" si="7"/>
        <v>0</v>
      </c>
      <c r="O127" s="27">
        <f t="shared" si="8"/>
        <v>0</v>
      </c>
      <c r="Q127" s="27">
        <f t="shared" si="9"/>
        <v>0</v>
      </c>
      <c r="S127" s="27">
        <v>287.0</v>
      </c>
      <c r="T127" s="27">
        <v>1.0</v>
      </c>
      <c r="U127" s="27">
        <v>0.0</v>
      </c>
      <c r="V127" s="27">
        <v>1.0</v>
      </c>
      <c r="W127" s="27">
        <v>0.0</v>
      </c>
      <c r="X127" s="27">
        <v>1.0</v>
      </c>
      <c r="Y127" s="27">
        <v>0.0</v>
      </c>
      <c r="Z127" s="27">
        <v>0.0</v>
      </c>
      <c r="AA127" s="27">
        <v>1.0</v>
      </c>
      <c r="AC127" s="27">
        <v>287.0</v>
      </c>
      <c r="AD127" s="27">
        <f t="shared" ref="AD127:AK127" si="134">T127/$S$1</f>
        <v>0.004166666667</v>
      </c>
      <c r="AE127" s="27">
        <f t="shared" si="134"/>
        <v>0</v>
      </c>
      <c r="AF127" s="27">
        <f t="shared" si="134"/>
        <v>0.004166666667</v>
      </c>
      <c r="AG127" s="27">
        <f t="shared" si="134"/>
        <v>0</v>
      </c>
      <c r="AH127" s="27">
        <f t="shared" si="134"/>
        <v>0.004166666667</v>
      </c>
      <c r="AI127" s="27">
        <f t="shared" si="134"/>
        <v>0</v>
      </c>
      <c r="AJ127" s="27">
        <f t="shared" si="134"/>
        <v>0</v>
      </c>
      <c r="AK127" s="27">
        <f t="shared" si="134"/>
        <v>0.004166666667</v>
      </c>
    </row>
    <row r="128" ht="15.75" customHeight="1">
      <c r="A128" s="27">
        <v>127.0</v>
      </c>
      <c r="B128" s="27"/>
      <c r="C128" s="27">
        <f t="shared" si="2"/>
        <v>0</v>
      </c>
      <c r="D128" s="27">
        <v>232.0</v>
      </c>
      <c r="E128" s="27">
        <f t="shared" si="3"/>
        <v>0</v>
      </c>
      <c r="G128" s="27">
        <f t="shared" si="4"/>
        <v>0</v>
      </c>
      <c r="H128" s="27">
        <v>478.0</v>
      </c>
      <c r="I128" s="27">
        <f t="shared" si="5"/>
        <v>0</v>
      </c>
      <c r="J128" s="27">
        <v>244.0</v>
      </c>
      <c r="K128" s="27">
        <f t="shared" si="6"/>
        <v>0</v>
      </c>
      <c r="L128" s="27">
        <v>74.0</v>
      </c>
      <c r="M128" s="27">
        <f t="shared" si="7"/>
        <v>0</v>
      </c>
      <c r="O128" s="27">
        <f t="shared" si="8"/>
        <v>0</v>
      </c>
      <c r="Q128" s="27">
        <f t="shared" si="9"/>
        <v>0</v>
      </c>
      <c r="S128" s="27">
        <v>291.0</v>
      </c>
      <c r="T128" s="27">
        <v>1.0</v>
      </c>
      <c r="U128" s="27">
        <v>0.0</v>
      </c>
      <c r="V128" s="27">
        <v>1.0</v>
      </c>
      <c r="W128" s="27">
        <v>0.0</v>
      </c>
      <c r="X128" s="27">
        <v>1.0</v>
      </c>
      <c r="Y128" s="27">
        <v>0.0</v>
      </c>
      <c r="Z128" s="27">
        <v>0.0</v>
      </c>
      <c r="AA128" s="27">
        <v>0.0</v>
      </c>
      <c r="AC128" s="27">
        <v>291.0</v>
      </c>
      <c r="AD128" s="27">
        <f t="shared" ref="AD128:AK128" si="135">T128/$S$1</f>
        <v>0.004166666667</v>
      </c>
      <c r="AE128" s="27">
        <f t="shared" si="135"/>
        <v>0</v>
      </c>
      <c r="AF128" s="27">
        <f t="shared" si="135"/>
        <v>0.004166666667</v>
      </c>
      <c r="AG128" s="27">
        <f t="shared" si="135"/>
        <v>0</v>
      </c>
      <c r="AH128" s="27">
        <f t="shared" si="135"/>
        <v>0.004166666667</v>
      </c>
      <c r="AI128" s="27">
        <f t="shared" si="135"/>
        <v>0</v>
      </c>
      <c r="AJ128" s="27">
        <f t="shared" si="135"/>
        <v>0</v>
      </c>
      <c r="AK128" s="27">
        <f t="shared" si="135"/>
        <v>0</v>
      </c>
    </row>
    <row r="129" ht="15.75" customHeight="1">
      <c r="A129" s="27">
        <v>127.0</v>
      </c>
      <c r="B129" s="27"/>
      <c r="C129" s="27">
        <f t="shared" si="2"/>
        <v>0</v>
      </c>
      <c r="D129" s="27">
        <v>264.0</v>
      </c>
      <c r="E129" s="27">
        <f t="shared" si="3"/>
        <v>0</v>
      </c>
      <c r="G129" s="27">
        <f t="shared" si="4"/>
        <v>0</v>
      </c>
      <c r="H129" s="27">
        <v>313.0</v>
      </c>
      <c r="I129" s="27">
        <f t="shared" si="5"/>
        <v>0</v>
      </c>
      <c r="J129" s="27">
        <v>24.0</v>
      </c>
      <c r="K129" s="27">
        <f t="shared" si="6"/>
        <v>0</v>
      </c>
      <c r="L129" s="27">
        <v>23.0</v>
      </c>
      <c r="M129" s="27">
        <f t="shared" si="7"/>
        <v>0</v>
      </c>
      <c r="O129" s="27">
        <f t="shared" si="8"/>
        <v>0</v>
      </c>
      <c r="Q129" s="27">
        <f t="shared" si="9"/>
        <v>0</v>
      </c>
      <c r="S129" s="27">
        <v>292.0</v>
      </c>
      <c r="T129" s="27">
        <v>1.0</v>
      </c>
      <c r="U129" s="27">
        <v>0.0</v>
      </c>
      <c r="V129" s="27">
        <v>0.0</v>
      </c>
      <c r="W129" s="27">
        <v>0.0</v>
      </c>
      <c r="X129" s="27">
        <v>1.0</v>
      </c>
      <c r="Y129" s="27">
        <v>0.0</v>
      </c>
      <c r="Z129" s="27">
        <v>0.0</v>
      </c>
      <c r="AA129" s="27">
        <v>0.0</v>
      </c>
      <c r="AC129" s="27">
        <v>292.0</v>
      </c>
      <c r="AD129" s="27">
        <f t="shared" ref="AD129:AK129" si="136">T129/$S$1</f>
        <v>0.004166666667</v>
      </c>
      <c r="AE129" s="27">
        <f t="shared" si="136"/>
        <v>0</v>
      </c>
      <c r="AF129" s="27">
        <f t="shared" si="136"/>
        <v>0</v>
      </c>
      <c r="AG129" s="27">
        <f t="shared" si="136"/>
        <v>0</v>
      </c>
      <c r="AH129" s="27">
        <f t="shared" si="136"/>
        <v>0.004166666667</v>
      </c>
      <c r="AI129" s="27">
        <f t="shared" si="136"/>
        <v>0</v>
      </c>
      <c r="AJ129" s="27">
        <f t="shared" si="136"/>
        <v>0</v>
      </c>
      <c r="AK129" s="27">
        <f t="shared" si="136"/>
        <v>0</v>
      </c>
    </row>
    <row r="130" ht="15.75" customHeight="1">
      <c r="A130" s="27">
        <v>129.0</v>
      </c>
      <c r="B130" s="27"/>
      <c r="C130" s="27">
        <f t="shared" si="2"/>
        <v>0</v>
      </c>
      <c r="D130" s="27">
        <v>52.0</v>
      </c>
      <c r="E130" s="27">
        <f t="shared" si="3"/>
        <v>0</v>
      </c>
      <c r="G130" s="27">
        <f t="shared" si="4"/>
        <v>0</v>
      </c>
      <c r="H130" s="27">
        <v>1.0</v>
      </c>
      <c r="I130" s="27">
        <f t="shared" si="5"/>
        <v>0</v>
      </c>
      <c r="J130" s="27">
        <v>145.0</v>
      </c>
      <c r="K130" s="27">
        <f t="shared" si="6"/>
        <v>0</v>
      </c>
      <c r="L130" s="27">
        <v>153.0</v>
      </c>
      <c r="M130" s="27">
        <f t="shared" si="7"/>
        <v>0</v>
      </c>
      <c r="O130" s="27">
        <f t="shared" si="8"/>
        <v>0</v>
      </c>
      <c r="Q130" s="27">
        <f t="shared" si="9"/>
        <v>0</v>
      </c>
      <c r="S130" s="27">
        <v>293.0</v>
      </c>
      <c r="T130" s="27">
        <v>1.0</v>
      </c>
      <c r="U130" s="27">
        <v>0.0</v>
      </c>
      <c r="V130" s="27">
        <v>0.0</v>
      </c>
      <c r="W130" s="27">
        <v>0.0</v>
      </c>
      <c r="X130" s="27">
        <v>1.0</v>
      </c>
      <c r="Y130" s="27">
        <v>1.0</v>
      </c>
      <c r="Z130" s="27">
        <v>0.0</v>
      </c>
      <c r="AA130" s="27">
        <v>0.0</v>
      </c>
      <c r="AC130" s="27">
        <v>293.0</v>
      </c>
      <c r="AD130" s="27">
        <f t="shared" ref="AD130:AK130" si="137">T130/$S$1</f>
        <v>0.004166666667</v>
      </c>
      <c r="AE130" s="27">
        <f t="shared" si="137"/>
        <v>0</v>
      </c>
      <c r="AF130" s="27">
        <f t="shared" si="137"/>
        <v>0</v>
      </c>
      <c r="AG130" s="27">
        <f t="shared" si="137"/>
        <v>0</v>
      </c>
      <c r="AH130" s="27">
        <f t="shared" si="137"/>
        <v>0.004166666667</v>
      </c>
      <c r="AI130" s="27">
        <f t="shared" si="137"/>
        <v>0.004166666667</v>
      </c>
      <c r="AJ130" s="27">
        <f t="shared" si="137"/>
        <v>0</v>
      </c>
      <c r="AK130" s="27">
        <f t="shared" si="137"/>
        <v>0</v>
      </c>
    </row>
    <row r="131" ht="15.75" customHeight="1">
      <c r="A131" s="27">
        <v>130.0</v>
      </c>
      <c r="B131" s="27"/>
      <c r="C131" s="27">
        <f t="shared" si="2"/>
        <v>0</v>
      </c>
      <c r="D131" s="27">
        <v>74.0</v>
      </c>
      <c r="E131" s="27">
        <f t="shared" si="3"/>
        <v>0</v>
      </c>
      <c r="G131" s="27">
        <f t="shared" si="4"/>
        <v>0</v>
      </c>
      <c r="H131" s="27">
        <v>313.0</v>
      </c>
      <c r="I131" s="27">
        <f t="shared" si="5"/>
        <v>0</v>
      </c>
      <c r="J131" s="27">
        <v>53.0</v>
      </c>
      <c r="K131" s="27">
        <f t="shared" si="6"/>
        <v>0</v>
      </c>
      <c r="L131" s="27">
        <v>177.0</v>
      </c>
      <c r="M131" s="27">
        <f t="shared" si="7"/>
        <v>0</v>
      </c>
      <c r="O131" s="27">
        <f t="shared" si="8"/>
        <v>0</v>
      </c>
      <c r="Q131" s="27">
        <f t="shared" si="9"/>
        <v>0</v>
      </c>
      <c r="S131" s="27">
        <v>294.0</v>
      </c>
      <c r="T131" s="27">
        <v>2.0</v>
      </c>
      <c r="U131" s="27">
        <v>1.0</v>
      </c>
      <c r="V131" s="27">
        <v>2.0</v>
      </c>
      <c r="W131" s="27">
        <v>0.0</v>
      </c>
      <c r="X131" s="27">
        <v>2.0</v>
      </c>
      <c r="Y131" s="27">
        <v>1.0</v>
      </c>
      <c r="Z131" s="27">
        <v>0.0</v>
      </c>
      <c r="AA131" s="27">
        <v>0.0</v>
      </c>
      <c r="AC131" s="27">
        <v>294.0</v>
      </c>
      <c r="AD131" s="27">
        <f t="shared" ref="AD131:AK131" si="138">T131/$S$1</f>
        <v>0.008333333333</v>
      </c>
      <c r="AE131" s="27">
        <f t="shared" si="138"/>
        <v>0.004166666667</v>
      </c>
      <c r="AF131" s="27">
        <f t="shared" si="138"/>
        <v>0.008333333333</v>
      </c>
      <c r="AG131" s="27">
        <f t="shared" si="138"/>
        <v>0</v>
      </c>
      <c r="AH131" s="27">
        <f t="shared" si="138"/>
        <v>0.008333333333</v>
      </c>
      <c r="AI131" s="27">
        <f t="shared" si="138"/>
        <v>0.004166666667</v>
      </c>
      <c r="AJ131" s="27">
        <f t="shared" si="138"/>
        <v>0</v>
      </c>
      <c r="AK131" s="27">
        <f t="shared" si="138"/>
        <v>0</v>
      </c>
    </row>
    <row r="132" ht="15.75" customHeight="1">
      <c r="A132" s="27">
        <v>127.0</v>
      </c>
      <c r="B132" s="27"/>
      <c r="C132" s="27">
        <f t="shared" si="2"/>
        <v>0</v>
      </c>
      <c r="D132" s="27">
        <v>269.0</v>
      </c>
      <c r="E132" s="27">
        <f t="shared" si="3"/>
        <v>0</v>
      </c>
      <c r="G132" s="27">
        <f t="shared" si="4"/>
        <v>0</v>
      </c>
      <c r="H132" s="27">
        <v>221.0</v>
      </c>
      <c r="I132" s="27">
        <f t="shared" si="5"/>
        <v>0</v>
      </c>
      <c r="J132" s="27">
        <v>250.0</v>
      </c>
      <c r="K132" s="27">
        <f t="shared" si="6"/>
        <v>0</v>
      </c>
      <c r="L132" s="27">
        <v>25.0</v>
      </c>
      <c r="M132" s="27">
        <f t="shared" si="7"/>
        <v>0</v>
      </c>
      <c r="O132" s="27">
        <f t="shared" si="8"/>
        <v>0</v>
      </c>
      <c r="Q132" s="27">
        <f t="shared" si="9"/>
        <v>0</v>
      </c>
      <c r="S132" s="27">
        <v>295.0</v>
      </c>
      <c r="T132" s="27">
        <v>2.0</v>
      </c>
      <c r="U132" s="27">
        <v>0.0</v>
      </c>
      <c r="V132" s="27">
        <v>0.0</v>
      </c>
      <c r="W132" s="27">
        <v>0.0</v>
      </c>
      <c r="X132" s="27">
        <v>1.0</v>
      </c>
      <c r="Y132" s="27">
        <v>1.0</v>
      </c>
      <c r="Z132" s="27">
        <v>0.0</v>
      </c>
      <c r="AA132" s="27">
        <v>0.0</v>
      </c>
      <c r="AC132" s="27">
        <v>295.0</v>
      </c>
      <c r="AD132" s="27">
        <f t="shared" ref="AD132:AK132" si="139">T132/$S$1</f>
        <v>0.008333333333</v>
      </c>
      <c r="AE132" s="27">
        <f t="shared" si="139"/>
        <v>0</v>
      </c>
      <c r="AF132" s="27">
        <f t="shared" si="139"/>
        <v>0</v>
      </c>
      <c r="AG132" s="27">
        <f t="shared" si="139"/>
        <v>0</v>
      </c>
      <c r="AH132" s="27">
        <f t="shared" si="139"/>
        <v>0.004166666667</v>
      </c>
      <c r="AI132" s="27">
        <f t="shared" si="139"/>
        <v>0.004166666667</v>
      </c>
      <c r="AJ132" s="27">
        <f t="shared" si="139"/>
        <v>0</v>
      </c>
      <c r="AK132" s="27">
        <f t="shared" si="139"/>
        <v>0</v>
      </c>
    </row>
    <row r="133" ht="15.75" customHeight="1">
      <c r="A133" s="27">
        <v>132.0</v>
      </c>
      <c r="B133" s="27"/>
      <c r="C133" s="27">
        <f t="shared" si="2"/>
        <v>0</v>
      </c>
      <c r="D133" s="27">
        <v>2.0</v>
      </c>
      <c r="E133" s="27">
        <f t="shared" si="3"/>
        <v>0</v>
      </c>
      <c r="G133" s="27">
        <f t="shared" si="4"/>
        <v>0</v>
      </c>
      <c r="H133" s="27">
        <v>145.0</v>
      </c>
      <c r="I133" s="27">
        <f t="shared" si="5"/>
        <v>0</v>
      </c>
      <c r="J133" s="27">
        <v>66.0</v>
      </c>
      <c r="K133" s="27">
        <f t="shared" si="6"/>
        <v>0</v>
      </c>
      <c r="L133" s="27">
        <v>43.0</v>
      </c>
      <c r="M133" s="27">
        <f t="shared" si="7"/>
        <v>0</v>
      </c>
      <c r="O133" s="27">
        <f t="shared" si="8"/>
        <v>0</v>
      </c>
      <c r="Q133" s="27">
        <f t="shared" si="9"/>
        <v>0</v>
      </c>
      <c r="S133" s="27">
        <v>296.0</v>
      </c>
      <c r="T133" s="27">
        <v>2.0</v>
      </c>
      <c r="U133" s="27">
        <v>0.0</v>
      </c>
      <c r="V133" s="27">
        <v>1.0</v>
      </c>
      <c r="W133" s="27">
        <v>0.0</v>
      </c>
      <c r="X133" s="27">
        <v>2.0</v>
      </c>
      <c r="Y133" s="27">
        <v>2.0</v>
      </c>
      <c r="Z133" s="27">
        <v>0.0</v>
      </c>
      <c r="AA133" s="27">
        <v>0.0</v>
      </c>
      <c r="AC133" s="27">
        <v>296.0</v>
      </c>
      <c r="AD133" s="27">
        <f t="shared" ref="AD133:AK133" si="140">T133/$S$1</f>
        <v>0.008333333333</v>
      </c>
      <c r="AE133" s="27">
        <f t="shared" si="140"/>
        <v>0</v>
      </c>
      <c r="AF133" s="27">
        <f t="shared" si="140"/>
        <v>0.004166666667</v>
      </c>
      <c r="AG133" s="27">
        <f t="shared" si="140"/>
        <v>0</v>
      </c>
      <c r="AH133" s="27">
        <f t="shared" si="140"/>
        <v>0.008333333333</v>
      </c>
      <c r="AI133" s="27">
        <f t="shared" si="140"/>
        <v>0.008333333333</v>
      </c>
      <c r="AJ133" s="27">
        <f t="shared" si="140"/>
        <v>0</v>
      </c>
      <c r="AK133" s="27">
        <f t="shared" si="140"/>
        <v>0</v>
      </c>
    </row>
    <row r="134" ht="15.75" customHeight="1">
      <c r="A134" s="27">
        <v>133.0</v>
      </c>
      <c r="B134" s="27"/>
      <c r="C134" s="27">
        <f t="shared" si="2"/>
        <v>0</v>
      </c>
      <c r="D134" s="27">
        <v>25.0</v>
      </c>
      <c r="E134" s="27">
        <f t="shared" si="3"/>
        <v>0</v>
      </c>
      <c r="G134" s="27">
        <f t="shared" si="4"/>
        <v>0</v>
      </c>
      <c r="H134" s="27">
        <v>313.0</v>
      </c>
      <c r="I134" s="27">
        <f t="shared" si="5"/>
        <v>0</v>
      </c>
      <c r="J134" s="27">
        <v>58.0</v>
      </c>
      <c r="K134" s="27">
        <f t="shared" si="6"/>
        <v>0</v>
      </c>
      <c r="L134" s="27">
        <v>43.0</v>
      </c>
      <c r="M134" s="27">
        <f t="shared" si="7"/>
        <v>0</v>
      </c>
      <c r="O134" s="27">
        <f t="shared" si="8"/>
        <v>0</v>
      </c>
      <c r="Q134" s="27">
        <f t="shared" si="9"/>
        <v>0</v>
      </c>
      <c r="S134" s="27">
        <v>302.0</v>
      </c>
      <c r="T134" s="27">
        <v>5.0</v>
      </c>
      <c r="U134" s="27">
        <v>0.0</v>
      </c>
      <c r="V134" s="27">
        <v>5.0</v>
      </c>
      <c r="W134" s="27">
        <v>0.0</v>
      </c>
      <c r="X134" s="27">
        <v>0.0</v>
      </c>
      <c r="Y134" s="27">
        <v>0.0</v>
      </c>
      <c r="Z134" s="27">
        <v>0.0</v>
      </c>
      <c r="AA134" s="27">
        <v>0.0</v>
      </c>
      <c r="AC134" s="27">
        <v>302.0</v>
      </c>
      <c r="AD134" s="27">
        <f t="shared" ref="AD134:AK134" si="141">T134/$S$1</f>
        <v>0.02083333333</v>
      </c>
      <c r="AE134" s="27">
        <f t="shared" si="141"/>
        <v>0</v>
      </c>
      <c r="AF134" s="27">
        <f t="shared" si="141"/>
        <v>0.02083333333</v>
      </c>
      <c r="AG134" s="27">
        <f t="shared" si="141"/>
        <v>0</v>
      </c>
      <c r="AH134" s="27">
        <f t="shared" si="141"/>
        <v>0</v>
      </c>
      <c r="AI134" s="27">
        <f t="shared" si="141"/>
        <v>0</v>
      </c>
      <c r="AJ134" s="27">
        <f t="shared" si="141"/>
        <v>0</v>
      </c>
      <c r="AK134" s="27">
        <f t="shared" si="141"/>
        <v>0</v>
      </c>
    </row>
    <row r="135" ht="15.75" customHeight="1">
      <c r="A135" s="27">
        <v>28.0</v>
      </c>
      <c r="B135" s="27"/>
      <c r="C135" s="27">
        <f t="shared" si="2"/>
        <v>0</v>
      </c>
      <c r="D135" s="27">
        <v>264.0</v>
      </c>
      <c r="E135" s="27">
        <f t="shared" si="3"/>
        <v>0</v>
      </c>
      <c r="G135" s="27">
        <f t="shared" si="4"/>
        <v>0</v>
      </c>
      <c r="H135" s="27">
        <v>512.0</v>
      </c>
      <c r="I135" s="27">
        <f t="shared" si="5"/>
        <v>0</v>
      </c>
      <c r="J135" s="27">
        <v>66.0</v>
      </c>
      <c r="K135" s="27">
        <f t="shared" si="6"/>
        <v>0</v>
      </c>
      <c r="L135" s="27">
        <v>43.0</v>
      </c>
      <c r="M135" s="27">
        <f t="shared" si="7"/>
        <v>0</v>
      </c>
      <c r="O135" s="27">
        <f t="shared" si="8"/>
        <v>0</v>
      </c>
      <c r="Q135" s="27">
        <f t="shared" si="9"/>
        <v>0</v>
      </c>
      <c r="S135" s="27">
        <v>306.0</v>
      </c>
      <c r="T135" s="27">
        <v>1.0</v>
      </c>
      <c r="U135" s="27">
        <v>0.0</v>
      </c>
      <c r="V135" s="27">
        <v>1.0</v>
      </c>
      <c r="W135" s="27">
        <v>0.0</v>
      </c>
      <c r="X135" s="27">
        <v>1.0</v>
      </c>
      <c r="Y135" s="27">
        <v>0.0</v>
      </c>
      <c r="Z135" s="27">
        <v>0.0</v>
      </c>
      <c r="AA135" s="27">
        <v>0.0</v>
      </c>
      <c r="AC135" s="27">
        <v>306.0</v>
      </c>
      <c r="AD135" s="27">
        <f t="shared" ref="AD135:AK135" si="142">T135/$S$1</f>
        <v>0.004166666667</v>
      </c>
      <c r="AE135" s="27">
        <f t="shared" si="142"/>
        <v>0</v>
      </c>
      <c r="AF135" s="27">
        <f t="shared" si="142"/>
        <v>0.004166666667</v>
      </c>
      <c r="AG135" s="27">
        <f t="shared" si="142"/>
        <v>0</v>
      </c>
      <c r="AH135" s="27">
        <f t="shared" si="142"/>
        <v>0.004166666667</v>
      </c>
      <c r="AI135" s="27">
        <f t="shared" si="142"/>
        <v>0</v>
      </c>
      <c r="AJ135" s="27">
        <f t="shared" si="142"/>
        <v>0</v>
      </c>
      <c r="AK135" s="27">
        <f t="shared" si="142"/>
        <v>0</v>
      </c>
    </row>
    <row r="136" ht="15.75" customHeight="1">
      <c r="A136" s="27">
        <v>48.0</v>
      </c>
      <c r="B136" s="27"/>
      <c r="C136" s="27">
        <f t="shared" si="2"/>
        <v>0</v>
      </c>
      <c r="D136" s="27">
        <v>25.0</v>
      </c>
      <c r="E136" s="27">
        <f t="shared" si="3"/>
        <v>0</v>
      </c>
      <c r="G136" s="27">
        <f t="shared" si="4"/>
        <v>0</v>
      </c>
      <c r="H136" s="27">
        <v>232.0</v>
      </c>
      <c r="I136" s="27">
        <f t="shared" si="5"/>
        <v>0</v>
      </c>
      <c r="J136" s="27">
        <v>66.0</v>
      </c>
      <c r="K136" s="27">
        <f t="shared" si="6"/>
        <v>0</v>
      </c>
      <c r="L136" s="27">
        <v>120.0</v>
      </c>
      <c r="M136" s="27">
        <f t="shared" si="7"/>
        <v>0</v>
      </c>
      <c r="O136" s="27">
        <f t="shared" si="8"/>
        <v>0</v>
      </c>
      <c r="Q136" s="27">
        <f t="shared" si="9"/>
        <v>0</v>
      </c>
      <c r="S136" s="27">
        <v>307.0</v>
      </c>
      <c r="T136" s="27">
        <v>2.0</v>
      </c>
      <c r="U136" s="27">
        <v>1.0</v>
      </c>
      <c r="V136" s="27">
        <v>1.0</v>
      </c>
      <c r="W136" s="27">
        <v>0.0</v>
      </c>
      <c r="X136" s="27">
        <v>1.0</v>
      </c>
      <c r="Y136" s="27">
        <v>1.0</v>
      </c>
      <c r="Z136" s="27">
        <v>1.0</v>
      </c>
      <c r="AA136" s="27">
        <v>1.0</v>
      </c>
      <c r="AC136" s="27">
        <v>307.0</v>
      </c>
      <c r="AD136" s="27">
        <f t="shared" ref="AD136:AK136" si="143">T136/$S$1</f>
        <v>0.008333333333</v>
      </c>
      <c r="AE136" s="27">
        <f t="shared" si="143"/>
        <v>0.004166666667</v>
      </c>
      <c r="AF136" s="27">
        <f t="shared" si="143"/>
        <v>0.004166666667</v>
      </c>
      <c r="AG136" s="27">
        <f t="shared" si="143"/>
        <v>0</v>
      </c>
      <c r="AH136" s="27">
        <f t="shared" si="143"/>
        <v>0.004166666667</v>
      </c>
      <c r="AI136" s="27">
        <f t="shared" si="143"/>
        <v>0.004166666667</v>
      </c>
      <c r="AJ136" s="27">
        <f t="shared" si="143"/>
        <v>0.004166666667</v>
      </c>
      <c r="AK136" s="27">
        <f t="shared" si="143"/>
        <v>0.004166666667</v>
      </c>
    </row>
    <row r="137" ht="15.75" customHeight="1">
      <c r="A137" s="27">
        <v>136.0</v>
      </c>
      <c r="B137" s="27"/>
      <c r="C137" s="27">
        <f t="shared" si="2"/>
        <v>0</v>
      </c>
      <c r="D137" s="27">
        <v>25.0</v>
      </c>
      <c r="E137" s="27">
        <f t="shared" si="3"/>
        <v>0</v>
      </c>
      <c r="G137" s="27">
        <f t="shared" si="4"/>
        <v>0</v>
      </c>
      <c r="H137" s="27">
        <v>519.0</v>
      </c>
      <c r="I137" s="27">
        <f t="shared" si="5"/>
        <v>0</v>
      </c>
      <c r="J137" s="27">
        <v>50.0</v>
      </c>
      <c r="K137" s="27">
        <f t="shared" si="6"/>
        <v>0</v>
      </c>
      <c r="L137" s="27">
        <v>120.0</v>
      </c>
      <c r="M137" s="27">
        <f t="shared" si="7"/>
        <v>0</v>
      </c>
      <c r="O137" s="27">
        <f t="shared" si="8"/>
        <v>0</v>
      </c>
      <c r="Q137" s="27">
        <f t="shared" si="9"/>
        <v>0</v>
      </c>
      <c r="S137" s="27">
        <v>308.0</v>
      </c>
      <c r="T137" s="27">
        <v>1.0</v>
      </c>
      <c r="U137" s="27">
        <v>0.0</v>
      </c>
      <c r="V137" s="27">
        <v>0.0</v>
      </c>
      <c r="W137" s="27">
        <v>0.0</v>
      </c>
      <c r="X137" s="27">
        <v>1.0</v>
      </c>
      <c r="Y137" s="27">
        <v>0.0</v>
      </c>
      <c r="Z137" s="27">
        <v>0.0</v>
      </c>
      <c r="AA137" s="27">
        <v>0.0</v>
      </c>
      <c r="AC137" s="27">
        <v>308.0</v>
      </c>
      <c r="AD137" s="27">
        <f t="shared" ref="AD137:AK137" si="144">T137/$S$1</f>
        <v>0.004166666667</v>
      </c>
      <c r="AE137" s="27">
        <f t="shared" si="144"/>
        <v>0</v>
      </c>
      <c r="AF137" s="27">
        <f t="shared" si="144"/>
        <v>0</v>
      </c>
      <c r="AG137" s="27">
        <f t="shared" si="144"/>
        <v>0</v>
      </c>
      <c r="AH137" s="27">
        <f t="shared" si="144"/>
        <v>0.004166666667</v>
      </c>
      <c r="AI137" s="27">
        <f t="shared" si="144"/>
        <v>0</v>
      </c>
      <c r="AJ137" s="27">
        <f t="shared" si="144"/>
        <v>0</v>
      </c>
      <c r="AK137" s="27">
        <f t="shared" si="144"/>
        <v>0</v>
      </c>
    </row>
    <row r="138" ht="15.75" customHeight="1">
      <c r="A138" s="27">
        <v>66.0</v>
      </c>
      <c r="B138" s="27"/>
      <c r="C138" s="27">
        <f t="shared" si="2"/>
        <v>0</v>
      </c>
      <c r="D138" s="27">
        <v>280.0</v>
      </c>
      <c r="E138" s="27">
        <f t="shared" si="3"/>
        <v>0</v>
      </c>
      <c r="G138" s="27">
        <f t="shared" si="4"/>
        <v>0</v>
      </c>
      <c r="H138" s="27">
        <v>512.0</v>
      </c>
      <c r="I138" s="27">
        <f t="shared" si="5"/>
        <v>0</v>
      </c>
      <c r="J138" s="27">
        <v>43.0</v>
      </c>
      <c r="K138" s="27">
        <f t="shared" si="6"/>
        <v>0</v>
      </c>
      <c r="L138" s="27">
        <v>120.0</v>
      </c>
      <c r="M138" s="27">
        <f t="shared" si="7"/>
        <v>0</v>
      </c>
      <c r="O138" s="27">
        <f t="shared" si="8"/>
        <v>0</v>
      </c>
      <c r="Q138" s="27">
        <f t="shared" si="9"/>
        <v>0</v>
      </c>
      <c r="S138" s="27">
        <v>311.0</v>
      </c>
      <c r="T138" s="27">
        <v>1.0</v>
      </c>
      <c r="U138" s="27">
        <v>0.0</v>
      </c>
      <c r="V138" s="27">
        <v>1.0</v>
      </c>
      <c r="W138" s="27">
        <v>0.0</v>
      </c>
      <c r="X138" s="27">
        <v>1.0</v>
      </c>
      <c r="Y138" s="27">
        <v>1.0</v>
      </c>
      <c r="Z138" s="27">
        <v>0.0</v>
      </c>
      <c r="AA138" s="27">
        <v>1.0</v>
      </c>
      <c r="AC138" s="27">
        <v>311.0</v>
      </c>
      <c r="AD138" s="27">
        <f t="shared" ref="AD138:AK138" si="145">T138/$S$1</f>
        <v>0.004166666667</v>
      </c>
      <c r="AE138" s="27">
        <f t="shared" si="145"/>
        <v>0</v>
      </c>
      <c r="AF138" s="27">
        <f t="shared" si="145"/>
        <v>0.004166666667</v>
      </c>
      <c r="AG138" s="27">
        <f t="shared" si="145"/>
        <v>0</v>
      </c>
      <c r="AH138" s="27">
        <f t="shared" si="145"/>
        <v>0.004166666667</v>
      </c>
      <c r="AI138" s="27">
        <f t="shared" si="145"/>
        <v>0.004166666667</v>
      </c>
      <c r="AJ138" s="27">
        <f t="shared" si="145"/>
        <v>0</v>
      </c>
      <c r="AK138" s="27">
        <f t="shared" si="145"/>
        <v>0.004166666667</v>
      </c>
    </row>
    <row r="139" ht="15.75" customHeight="1">
      <c r="A139" s="27">
        <v>24.0</v>
      </c>
      <c r="B139" s="27"/>
      <c r="C139" s="27">
        <f t="shared" si="2"/>
        <v>0</v>
      </c>
      <c r="D139" s="27">
        <v>281.0</v>
      </c>
      <c r="E139" s="27">
        <f t="shared" si="3"/>
        <v>0</v>
      </c>
      <c r="G139" s="27">
        <f t="shared" si="4"/>
        <v>0</v>
      </c>
      <c r="H139" s="27">
        <v>459.0</v>
      </c>
      <c r="I139" s="27">
        <f t="shared" si="5"/>
        <v>0</v>
      </c>
      <c r="J139" s="27">
        <v>132.0</v>
      </c>
      <c r="K139" s="27">
        <f t="shared" si="6"/>
        <v>0</v>
      </c>
      <c r="L139" s="27">
        <v>120.0</v>
      </c>
      <c r="M139" s="27">
        <f t="shared" si="7"/>
        <v>0</v>
      </c>
      <c r="O139" s="27">
        <f t="shared" si="8"/>
        <v>0</v>
      </c>
      <c r="Q139" s="27">
        <f t="shared" si="9"/>
        <v>0</v>
      </c>
      <c r="S139" s="27">
        <v>312.0</v>
      </c>
      <c r="T139" s="27">
        <v>1.0</v>
      </c>
      <c r="U139" s="27">
        <v>0.0</v>
      </c>
      <c r="V139" s="27">
        <v>0.0</v>
      </c>
      <c r="W139" s="27">
        <v>0.0</v>
      </c>
      <c r="X139" s="27">
        <v>1.0</v>
      </c>
      <c r="Y139" s="27">
        <v>1.0</v>
      </c>
      <c r="Z139" s="27">
        <v>0.0</v>
      </c>
      <c r="AA139" s="27">
        <v>0.0</v>
      </c>
      <c r="AC139" s="27">
        <v>312.0</v>
      </c>
      <c r="AD139" s="27">
        <f t="shared" ref="AD139:AK139" si="146">T139/$S$1</f>
        <v>0.004166666667</v>
      </c>
      <c r="AE139" s="27">
        <f t="shared" si="146"/>
        <v>0</v>
      </c>
      <c r="AF139" s="27">
        <f t="shared" si="146"/>
        <v>0</v>
      </c>
      <c r="AG139" s="27">
        <f t="shared" si="146"/>
        <v>0</v>
      </c>
      <c r="AH139" s="27">
        <f t="shared" si="146"/>
        <v>0.004166666667</v>
      </c>
      <c r="AI139" s="27">
        <f t="shared" si="146"/>
        <v>0.004166666667</v>
      </c>
      <c r="AJ139" s="27">
        <f t="shared" si="146"/>
        <v>0</v>
      </c>
      <c r="AK139" s="27">
        <f t="shared" si="146"/>
        <v>0</v>
      </c>
    </row>
    <row r="140" ht="15.75" customHeight="1">
      <c r="A140" s="27">
        <v>24.0</v>
      </c>
      <c r="B140" s="27"/>
      <c r="C140" s="27">
        <f t="shared" si="2"/>
        <v>0</v>
      </c>
      <c r="D140" s="27">
        <v>284.0</v>
      </c>
      <c r="E140" s="27">
        <f t="shared" si="3"/>
        <v>0</v>
      </c>
      <c r="G140" s="27">
        <f t="shared" si="4"/>
        <v>0</v>
      </c>
      <c r="H140" s="27">
        <v>441.0</v>
      </c>
      <c r="I140" s="27">
        <f t="shared" si="5"/>
        <v>0</v>
      </c>
      <c r="J140" s="27">
        <v>232.0</v>
      </c>
      <c r="K140" s="27">
        <f t="shared" si="6"/>
        <v>0</v>
      </c>
      <c r="L140" s="27">
        <v>190.0</v>
      </c>
      <c r="M140" s="27">
        <f t="shared" si="7"/>
        <v>0</v>
      </c>
      <c r="O140" s="27">
        <f t="shared" si="8"/>
        <v>0</v>
      </c>
      <c r="Q140" s="27">
        <f t="shared" si="9"/>
        <v>0</v>
      </c>
      <c r="S140" s="27">
        <v>313.0</v>
      </c>
      <c r="T140" s="27">
        <v>5.0</v>
      </c>
      <c r="U140" s="27">
        <v>5.0</v>
      </c>
      <c r="V140" s="27">
        <v>5.0</v>
      </c>
      <c r="W140" s="27">
        <v>0.0</v>
      </c>
      <c r="X140" s="27">
        <v>4.0</v>
      </c>
      <c r="Y140" s="27">
        <v>5.0</v>
      </c>
      <c r="Z140" s="27">
        <v>0.0</v>
      </c>
      <c r="AA140" s="27">
        <v>5.0</v>
      </c>
      <c r="AC140" s="27">
        <v>313.0</v>
      </c>
      <c r="AD140" s="27">
        <f t="shared" ref="AD140:AK140" si="147">T140/$S$1</f>
        <v>0.02083333333</v>
      </c>
      <c r="AE140" s="27">
        <f t="shared" si="147"/>
        <v>0.02083333333</v>
      </c>
      <c r="AF140" s="27">
        <f t="shared" si="147"/>
        <v>0.02083333333</v>
      </c>
      <c r="AG140" s="27">
        <f t="shared" si="147"/>
        <v>0</v>
      </c>
      <c r="AH140" s="27">
        <f t="shared" si="147"/>
        <v>0.01666666667</v>
      </c>
      <c r="AI140" s="27">
        <f t="shared" si="147"/>
        <v>0.02083333333</v>
      </c>
      <c r="AJ140" s="27">
        <f t="shared" si="147"/>
        <v>0</v>
      </c>
      <c r="AK140" s="27">
        <f t="shared" si="147"/>
        <v>0.02083333333</v>
      </c>
    </row>
    <row r="141" ht="15.75" customHeight="1">
      <c r="A141" s="27">
        <v>74.0</v>
      </c>
      <c r="B141" s="27"/>
      <c r="C141" s="27">
        <f t="shared" si="2"/>
        <v>0</v>
      </c>
      <c r="D141" s="27">
        <v>58.0</v>
      </c>
      <c r="E141" s="27">
        <f t="shared" si="3"/>
        <v>0</v>
      </c>
      <c r="G141" s="27">
        <f t="shared" si="4"/>
        <v>0</v>
      </c>
      <c r="H141" s="27">
        <v>17.0</v>
      </c>
      <c r="I141" s="27">
        <f t="shared" si="5"/>
        <v>0</v>
      </c>
      <c r="J141" s="27">
        <v>211.0</v>
      </c>
      <c r="K141" s="27">
        <f t="shared" si="6"/>
        <v>0</v>
      </c>
      <c r="L141" s="27">
        <v>197.0</v>
      </c>
      <c r="M141" s="27">
        <f t="shared" si="7"/>
        <v>0</v>
      </c>
      <c r="O141" s="27">
        <f t="shared" si="8"/>
        <v>0</v>
      </c>
      <c r="Q141" s="27">
        <f t="shared" si="9"/>
        <v>0</v>
      </c>
      <c r="S141" s="27">
        <v>314.0</v>
      </c>
      <c r="T141" s="27">
        <v>1.0</v>
      </c>
      <c r="U141" s="27">
        <v>0.0</v>
      </c>
      <c r="V141" s="27">
        <v>1.0</v>
      </c>
      <c r="W141" s="27">
        <v>0.0</v>
      </c>
      <c r="X141" s="27">
        <v>1.0</v>
      </c>
      <c r="Y141" s="27">
        <v>0.0</v>
      </c>
      <c r="Z141" s="27">
        <v>0.0</v>
      </c>
      <c r="AA141" s="27">
        <v>0.0</v>
      </c>
      <c r="AC141" s="27">
        <v>314.0</v>
      </c>
      <c r="AD141" s="27">
        <f t="shared" ref="AD141:AK141" si="148">T141/$S$1</f>
        <v>0.004166666667</v>
      </c>
      <c r="AE141" s="27">
        <f t="shared" si="148"/>
        <v>0</v>
      </c>
      <c r="AF141" s="27">
        <f t="shared" si="148"/>
        <v>0.004166666667</v>
      </c>
      <c r="AG141" s="27">
        <f t="shared" si="148"/>
        <v>0</v>
      </c>
      <c r="AH141" s="27">
        <f t="shared" si="148"/>
        <v>0.004166666667</v>
      </c>
      <c r="AI141" s="27">
        <f t="shared" si="148"/>
        <v>0</v>
      </c>
      <c r="AJ141" s="27">
        <f t="shared" si="148"/>
        <v>0</v>
      </c>
      <c r="AK141" s="27">
        <f t="shared" si="148"/>
        <v>0</v>
      </c>
    </row>
    <row r="142" ht="15.75" customHeight="1">
      <c r="A142" s="27">
        <v>58.0</v>
      </c>
      <c r="B142" s="27"/>
      <c r="C142" s="27">
        <f t="shared" si="2"/>
        <v>0</v>
      </c>
      <c r="D142" s="27">
        <v>58.0</v>
      </c>
      <c r="E142" s="27">
        <f t="shared" si="3"/>
        <v>0</v>
      </c>
      <c r="G142" s="27">
        <f t="shared" si="4"/>
        <v>0</v>
      </c>
      <c r="H142" s="27">
        <v>459.0</v>
      </c>
      <c r="I142" s="27">
        <f t="shared" si="5"/>
        <v>0</v>
      </c>
      <c r="J142" s="27">
        <v>52.0</v>
      </c>
      <c r="K142" s="27">
        <f t="shared" si="6"/>
        <v>0</v>
      </c>
      <c r="L142" s="27">
        <v>198.0</v>
      </c>
      <c r="M142" s="27">
        <f t="shared" si="7"/>
        <v>0</v>
      </c>
      <c r="O142" s="27">
        <f t="shared" si="8"/>
        <v>0</v>
      </c>
      <c r="Q142" s="27">
        <f t="shared" si="9"/>
        <v>0</v>
      </c>
      <c r="S142" s="27">
        <v>316.0</v>
      </c>
      <c r="T142" s="27">
        <v>1.0</v>
      </c>
      <c r="U142" s="27">
        <v>0.0</v>
      </c>
      <c r="V142" s="27">
        <v>0.0</v>
      </c>
      <c r="W142" s="27">
        <v>0.0</v>
      </c>
      <c r="X142" s="27">
        <v>0.0</v>
      </c>
      <c r="Y142" s="27">
        <v>0.0</v>
      </c>
      <c r="Z142" s="27">
        <v>0.0</v>
      </c>
      <c r="AA142" s="27">
        <v>0.0</v>
      </c>
      <c r="AC142" s="27">
        <v>316.0</v>
      </c>
      <c r="AD142" s="27">
        <f t="shared" ref="AD142:AK142" si="149">T142/$S$1</f>
        <v>0.004166666667</v>
      </c>
      <c r="AE142" s="27">
        <f t="shared" si="149"/>
        <v>0</v>
      </c>
      <c r="AF142" s="27">
        <f t="shared" si="149"/>
        <v>0</v>
      </c>
      <c r="AG142" s="27">
        <f t="shared" si="149"/>
        <v>0</v>
      </c>
      <c r="AH142" s="27">
        <f t="shared" si="149"/>
        <v>0</v>
      </c>
      <c r="AI142" s="27">
        <f t="shared" si="149"/>
        <v>0</v>
      </c>
      <c r="AJ142" s="27">
        <f t="shared" si="149"/>
        <v>0</v>
      </c>
      <c r="AK142" s="27">
        <f t="shared" si="149"/>
        <v>0</v>
      </c>
    </row>
    <row r="143" ht="15.75" customHeight="1">
      <c r="A143" s="27">
        <v>17.0</v>
      </c>
      <c r="B143" s="27"/>
      <c r="C143" s="27">
        <f t="shared" si="2"/>
        <v>0</v>
      </c>
      <c r="D143" s="27">
        <v>25.0</v>
      </c>
      <c r="E143" s="27">
        <f t="shared" si="3"/>
        <v>0</v>
      </c>
      <c r="G143" s="27">
        <f t="shared" si="4"/>
        <v>0</v>
      </c>
      <c r="H143" s="27">
        <v>307.0</v>
      </c>
      <c r="I143" s="27">
        <f t="shared" si="5"/>
        <v>0</v>
      </c>
      <c r="J143" s="27">
        <v>66.0</v>
      </c>
      <c r="K143" s="27">
        <f t="shared" si="6"/>
        <v>0</v>
      </c>
      <c r="L143" s="27">
        <v>200.0</v>
      </c>
      <c r="M143" s="27">
        <f t="shared" si="7"/>
        <v>0</v>
      </c>
      <c r="O143" s="27">
        <f t="shared" si="8"/>
        <v>0</v>
      </c>
      <c r="Q143" s="27">
        <f t="shared" si="9"/>
        <v>0</v>
      </c>
      <c r="S143" s="27">
        <v>319.0</v>
      </c>
      <c r="T143" s="27">
        <v>2.0</v>
      </c>
      <c r="U143" s="27">
        <v>2.0</v>
      </c>
      <c r="V143" s="27">
        <v>2.0</v>
      </c>
      <c r="W143" s="27">
        <v>0.0</v>
      </c>
      <c r="X143" s="27">
        <v>2.0</v>
      </c>
      <c r="Y143" s="27">
        <v>0.0</v>
      </c>
      <c r="Z143" s="27">
        <v>0.0</v>
      </c>
      <c r="AA143" s="27">
        <v>0.0</v>
      </c>
      <c r="AC143" s="27">
        <v>319.0</v>
      </c>
      <c r="AD143" s="27">
        <f t="shared" ref="AD143:AK143" si="150">T143/$S$1</f>
        <v>0.008333333333</v>
      </c>
      <c r="AE143" s="27">
        <f t="shared" si="150"/>
        <v>0.008333333333</v>
      </c>
      <c r="AF143" s="27">
        <f t="shared" si="150"/>
        <v>0.008333333333</v>
      </c>
      <c r="AG143" s="27">
        <f t="shared" si="150"/>
        <v>0</v>
      </c>
      <c r="AH143" s="27">
        <f t="shared" si="150"/>
        <v>0.008333333333</v>
      </c>
      <c r="AI143" s="27">
        <f t="shared" si="150"/>
        <v>0</v>
      </c>
      <c r="AJ143" s="27">
        <f t="shared" si="150"/>
        <v>0</v>
      </c>
      <c r="AK143" s="27">
        <f t="shared" si="150"/>
        <v>0</v>
      </c>
    </row>
    <row r="144" ht="15.75" customHeight="1">
      <c r="A144" s="27">
        <v>143.0</v>
      </c>
      <c r="B144" s="27"/>
      <c r="C144" s="27">
        <f t="shared" si="2"/>
        <v>0</v>
      </c>
      <c r="D144" s="27">
        <v>293.0</v>
      </c>
      <c r="E144" s="27">
        <f t="shared" si="3"/>
        <v>0</v>
      </c>
      <c r="G144" s="27">
        <f t="shared" si="4"/>
        <v>0</v>
      </c>
      <c r="H144" s="27">
        <v>545.0</v>
      </c>
      <c r="I144" s="27">
        <f t="shared" si="5"/>
        <v>0</v>
      </c>
      <c r="J144" s="27">
        <v>269.0</v>
      </c>
      <c r="K144" s="27">
        <f t="shared" si="6"/>
        <v>0</v>
      </c>
      <c r="L144" s="27">
        <v>201.0</v>
      </c>
      <c r="M144" s="27">
        <f t="shared" si="7"/>
        <v>0</v>
      </c>
      <c r="O144" s="27">
        <f t="shared" si="8"/>
        <v>0</v>
      </c>
      <c r="Q144" s="27">
        <f t="shared" si="9"/>
        <v>0</v>
      </c>
      <c r="S144" s="27">
        <v>321.0</v>
      </c>
      <c r="T144" s="27">
        <v>1.0</v>
      </c>
      <c r="U144" s="27">
        <v>1.0</v>
      </c>
      <c r="V144" s="27">
        <v>0.0</v>
      </c>
      <c r="W144" s="27">
        <v>0.0</v>
      </c>
      <c r="X144" s="27">
        <v>1.0</v>
      </c>
      <c r="Y144" s="27">
        <v>0.0</v>
      </c>
      <c r="Z144" s="27">
        <v>0.0</v>
      </c>
      <c r="AA144" s="27">
        <v>0.0</v>
      </c>
      <c r="AC144" s="27">
        <v>321.0</v>
      </c>
      <c r="AD144" s="27">
        <f t="shared" ref="AD144:AK144" si="151">T144/$S$1</f>
        <v>0.004166666667</v>
      </c>
      <c r="AE144" s="27">
        <f t="shared" si="151"/>
        <v>0.004166666667</v>
      </c>
      <c r="AF144" s="27">
        <f t="shared" si="151"/>
        <v>0</v>
      </c>
      <c r="AG144" s="27">
        <f t="shared" si="151"/>
        <v>0</v>
      </c>
      <c r="AH144" s="27">
        <f t="shared" si="151"/>
        <v>0.004166666667</v>
      </c>
      <c r="AI144" s="27">
        <f t="shared" si="151"/>
        <v>0</v>
      </c>
      <c r="AJ144" s="27">
        <f t="shared" si="151"/>
        <v>0</v>
      </c>
      <c r="AK144" s="27">
        <f t="shared" si="151"/>
        <v>0</v>
      </c>
    </row>
    <row r="145" ht="15.75" customHeight="1">
      <c r="A145" s="27">
        <v>144.0</v>
      </c>
      <c r="B145" s="27"/>
      <c r="C145" s="27">
        <f t="shared" si="2"/>
        <v>0</v>
      </c>
      <c r="D145" s="27">
        <v>296.0</v>
      </c>
      <c r="E145" s="27">
        <f t="shared" si="3"/>
        <v>0</v>
      </c>
      <c r="G145" s="27">
        <f t="shared" si="4"/>
        <v>0</v>
      </c>
      <c r="H145" s="27">
        <v>149.0</v>
      </c>
      <c r="I145" s="27">
        <f t="shared" si="5"/>
        <v>0</v>
      </c>
      <c r="J145" s="27">
        <v>25.0</v>
      </c>
      <c r="K145" s="27">
        <f t="shared" si="6"/>
        <v>0</v>
      </c>
      <c r="L145" s="27">
        <v>74.0</v>
      </c>
      <c r="M145" s="27">
        <f t="shared" si="7"/>
        <v>0</v>
      </c>
      <c r="O145" s="27">
        <f t="shared" si="8"/>
        <v>0</v>
      </c>
      <c r="Q145" s="27">
        <f t="shared" si="9"/>
        <v>0</v>
      </c>
      <c r="S145" s="27">
        <v>323.0</v>
      </c>
      <c r="T145" s="27">
        <v>1.0</v>
      </c>
      <c r="U145" s="27">
        <v>0.0</v>
      </c>
      <c r="V145" s="27">
        <v>1.0</v>
      </c>
      <c r="W145" s="27">
        <v>0.0</v>
      </c>
      <c r="X145" s="27">
        <v>0.0</v>
      </c>
      <c r="Y145" s="27">
        <v>0.0</v>
      </c>
      <c r="Z145" s="27">
        <v>0.0</v>
      </c>
      <c r="AA145" s="27">
        <v>0.0</v>
      </c>
      <c r="AC145" s="27">
        <v>323.0</v>
      </c>
      <c r="AD145" s="27">
        <f t="shared" ref="AD145:AK145" si="152">T145/$S$1</f>
        <v>0.004166666667</v>
      </c>
      <c r="AE145" s="27">
        <f t="shared" si="152"/>
        <v>0</v>
      </c>
      <c r="AF145" s="27">
        <f t="shared" si="152"/>
        <v>0.004166666667</v>
      </c>
      <c r="AG145" s="27">
        <f t="shared" si="152"/>
        <v>0</v>
      </c>
      <c r="AH145" s="27">
        <f t="shared" si="152"/>
        <v>0</v>
      </c>
      <c r="AI145" s="27">
        <f t="shared" si="152"/>
        <v>0</v>
      </c>
      <c r="AJ145" s="27">
        <f t="shared" si="152"/>
        <v>0</v>
      </c>
      <c r="AK145" s="27">
        <f t="shared" si="152"/>
        <v>0</v>
      </c>
    </row>
    <row r="146" ht="15.75" customHeight="1">
      <c r="A146" s="27">
        <v>145.0</v>
      </c>
      <c r="B146" s="27"/>
      <c r="C146" s="27">
        <f t="shared" si="2"/>
        <v>0</v>
      </c>
      <c r="D146" s="27">
        <v>264.0</v>
      </c>
      <c r="E146" s="27">
        <f t="shared" si="3"/>
        <v>0</v>
      </c>
      <c r="G146" s="27">
        <f t="shared" si="4"/>
        <v>0</v>
      </c>
      <c r="H146" s="27">
        <v>478.0</v>
      </c>
      <c r="I146" s="27">
        <f t="shared" si="5"/>
        <v>0</v>
      </c>
      <c r="J146" s="27">
        <v>274.0</v>
      </c>
      <c r="K146" s="27">
        <f t="shared" si="6"/>
        <v>0</v>
      </c>
      <c r="L146" s="27">
        <v>145.0</v>
      </c>
      <c r="M146" s="27">
        <f t="shared" si="7"/>
        <v>0</v>
      </c>
      <c r="O146" s="27">
        <f t="shared" si="8"/>
        <v>0</v>
      </c>
      <c r="Q146" s="27">
        <f t="shared" si="9"/>
        <v>0</v>
      </c>
      <c r="S146" s="27">
        <v>325.0</v>
      </c>
      <c r="T146" s="27">
        <v>1.0</v>
      </c>
      <c r="U146" s="27">
        <v>1.0</v>
      </c>
      <c r="V146" s="27">
        <v>1.0</v>
      </c>
      <c r="W146" s="27">
        <v>0.0</v>
      </c>
      <c r="X146" s="27">
        <v>1.0</v>
      </c>
      <c r="Y146" s="27">
        <v>1.0</v>
      </c>
      <c r="Z146" s="27">
        <v>0.0</v>
      </c>
      <c r="AA146" s="27">
        <v>1.0</v>
      </c>
      <c r="AC146" s="27">
        <v>325.0</v>
      </c>
      <c r="AD146" s="27">
        <f t="shared" ref="AD146:AK146" si="153">T146/$S$1</f>
        <v>0.004166666667</v>
      </c>
      <c r="AE146" s="27">
        <f t="shared" si="153"/>
        <v>0.004166666667</v>
      </c>
      <c r="AF146" s="27">
        <f t="shared" si="153"/>
        <v>0.004166666667</v>
      </c>
      <c r="AG146" s="27">
        <f t="shared" si="153"/>
        <v>0</v>
      </c>
      <c r="AH146" s="27">
        <f t="shared" si="153"/>
        <v>0.004166666667</v>
      </c>
      <c r="AI146" s="27">
        <f t="shared" si="153"/>
        <v>0.004166666667</v>
      </c>
      <c r="AJ146" s="27">
        <f t="shared" si="153"/>
        <v>0</v>
      </c>
      <c r="AK146" s="27">
        <f t="shared" si="153"/>
        <v>0.004166666667</v>
      </c>
    </row>
    <row r="147" ht="15.75" customHeight="1">
      <c r="A147" s="27">
        <v>1.0</v>
      </c>
      <c r="B147" s="27"/>
      <c r="C147" s="27">
        <f t="shared" si="2"/>
        <v>0</v>
      </c>
      <c r="D147" s="27">
        <v>264.0</v>
      </c>
      <c r="E147" s="27">
        <f t="shared" si="3"/>
        <v>0</v>
      </c>
      <c r="G147" s="27">
        <f t="shared" si="4"/>
        <v>0</v>
      </c>
      <c r="H147" s="27">
        <v>25.0</v>
      </c>
      <c r="I147" s="27">
        <f t="shared" si="5"/>
        <v>0</v>
      </c>
      <c r="J147" s="27">
        <v>25.0</v>
      </c>
      <c r="K147" s="27">
        <f t="shared" si="6"/>
        <v>0</v>
      </c>
      <c r="L147" s="27">
        <v>74.0</v>
      </c>
      <c r="M147" s="27">
        <f t="shared" si="7"/>
        <v>0</v>
      </c>
      <c r="O147" s="27">
        <f t="shared" si="8"/>
        <v>0</v>
      </c>
      <c r="Q147" s="27">
        <f t="shared" si="9"/>
        <v>0</v>
      </c>
      <c r="S147" s="27">
        <v>327.0</v>
      </c>
      <c r="T147" s="27">
        <v>1.0</v>
      </c>
      <c r="U147" s="27">
        <v>0.0</v>
      </c>
      <c r="V147" s="27">
        <v>1.0</v>
      </c>
      <c r="W147" s="27">
        <v>1.0</v>
      </c>
      <c r="X147" s="27">
        <v>1.0</v>
      </c>
      <c r="Y147" s="27">
        <v>0.0</v>
      </c>
      <c r="Z147" s="27">
        <v>0.0</v>
      </c>
      <c r="AA147" s="27">
        <v>0.0</v>
      </c>
      <c r="AC147" s="27">
        <v>327.0</v>
      </c>
      <c r="AD147" s="27">
        <f t="shared" ref="AD147:AK147" si="154">T147/$S$1</f>
        <v>0.004166666667</v>
      </c>
      <c r="AE147" s="27">
        <f t="shared" si="154"/>
        <v>0</v>
      </c>
      <c r="AF147" s="27">
        <f t="shared" si="154"/>
        <v>0.004166666667</v>
      </c>
      <c r="AG147" s="27">
        <f t="shared" si="154"/>
        <v>0.004166666667</v>
      </c>
      <c r="AH147" s="27">
        <f t="shared" si="154"/>
        <v>0.004166666667</v>
      </c>
      <c r="AI147" s="27">
        <f t="shared" si="154"/>
        <v>0</v>
      </c>
      <c r="AJ147" s="27">
        <f t="shared" si="154"/>
        <v>0</v>
      </c>
      <c r="AK147" s="27">
        <f t="shared" si="154"/>
        <v>0</v>
      </c>
    </row>
    <row r="148" ht="15.75" customHeight="1">
      <c r="A148" s="27">
        <v>147.0</v>
      </c>
      <c r="B148" s="27"/>
      <c r="C148" s="27">
        <f t="shared" si="2"/>
        <v>0</v>
      </c>
      <c r="D148" s="27">
        <v>25.0</v>
      </c>
      <c r="E148" s="27">
        <f t="shared" si="3"/>
        <v>0</v>
      </c>
      <c r="G148" s="27">
        <f t="shared" si="4"/>
        <v>0</v>
      </c>
      <c r="H148" s="27">
        <v>232.0</v>
      </c>
      <c r="I148" s="27">
        <f t="shared" si="5"/>
        <v>0</v>
      </c>
      <c r="J148" s="27">
        <v>277.0</v>
      </c>
      <c r="K148" s="27">
        <f t="shared" si="6"/>
        <v>0</v>
      </c>
      <c r="L148" s="27">
        <v>207.0</v>
      </c>
      <c r="M148" s="27">
        <f t="shared" si="7"/>
        <v>0</v>
      </c>
      <c r="O148" s="27">
        <f t="shared" si="8"/>
        <v>0</v>
      </c>
      <c r="Q148" s="27">
        <f t="shared" si="9"/>
        <v>0</v>
      </c>
      <c r="S148" s="27">
        <v>328.0</v>
      </c>
      <c r="T148" s="27">
        <v>1.0</v>
      </c>
      <c r="U148" s="27">
        <v>1.0</v>
      </c>
      <c r="V148" s="27">
        <v>1.0</v>
      </c>
      <c r="W148" s="27">
        <v>0.0</v>
      </c>
      <c r="X148" s="27">
        <v>0.0</v>
      </c>
      <c r="Y148" s="27">
        <v>0.0</v>
      </c>
      <c r="Z148" s="27">
        <v>0.0</v>
      </c>
      <c r="AA148" s="27">
        <v>0.0</v>
      </c>
      <c r="AC148" s="27">
        <v>328.0</v>
      </c>
      <c r="AD148" s="27">
        <f t="shared" ref="AD148:AK148" si="155">T148/$S$1</f>
        <v>0.004166666667</v>
      </c>
      <c r="AE148" s="27">
        <f t="shared" si="155"/>
        <v>0.004166666667</v>
      </c>
      <c r="AF148" s="27">
        <f t="shared" si="155"/>
        <v>0.004166666667</v>
      </c>
      <c r="AG148" s="27">
        <f t="shared" si="155"/>
        <v>0</v>
      </c>
      <c r="AH148" s="27">
        <f t="shared" si="155"/>
        <v>0</v>
      </c>
      <c r="AI148" s="27">
        <f t="shared" si="155"/>
        <v>0</v>
      </c>
      <c r="AJ148" s="27">
        <f t="shared" si="155"/>
        <v>0</v>
      </c>
      <c r="AK148" s="27">
        <f t="shared" si="155"/>
        <v>0</v>
      </c>
    </row>
    <row r="149" ht="15.75" customHeight="1">
      <c r="A149" s="27">
        <v>148.0</v>
      </c>
      <c r="B149" s="27"/>
      <c r="C149" s="27">
        <f t="shared" si="2"/>
        <v>0</v>
      </c>
      <c r="D149" s="27">
        <v>258.0</v>
      </c>
      <c r="E149" s="27">
        <f t="shared" si="3"/>
        <v>0</v>
      </c>
      <c r="G149" s="27">
        <f t="shared" si="4"/>
        <v>0</v>
      </c>
      <c r="H149" s="27">
        <v>149.0</v>
      </c>
      <c r="I149" s="27">
        <f t="shared" si="5"/>
        <v>0</v>
      </c>
      <c r="J149" s="27">
        <v>25.0</v>
      </c>
      <c r="K149" s="27">
        <f t="shared" si="6"/>
        <v>0</v>
      </c>
      <c r="L149" s="27">
        <v>17.0</v>
      </c>
      <c r="M149" s="27">
        <f t="shared" si="7"/>
        <v>0</v>
      </c>
      <c r="O149" s="27">
        <f t="shared" si="8"/>
        <v>0</v>
      </c>
      <c r="Q149" s="27">
        <f t="shared" si="9"/>
        <v>0</v>
      </c>
      <c r="S149" s="27">
        <v>330.0</v>
      </c>
      <c r="T149" s="27">
        <v>3.0</v>
      </c>
      <c r="U149" s="27">
        <v>0.0</v>
      </c>
      <c r="V149" s="27">
        <v>1.0</v>
      </c>
      <c r="W149" s="27">
        <v>0.0</v>
      </c>
      <c r="X149" s="27">
        <v>3.0</v>
      </c>
      <c r="Y149" s="27">
        <v>3.0</v>
      </c>
      <c r="Z149" s="27">
        <v>0.0</v>
      </c>
      <c r="AA149" s="27">
        <v>0.0</v>
      </c>
      <c r="AC149" s="27">
        <v>330.0</v>
      </c>
      <c r="AD149" s="27">
        <f t="shared" ref="AD149:AK149" si="156">T149/$S$1</f>
        <v>0.0125</v>
      </c>
      <c r="AE149" s="27">
        <f t="shared" si="156"/>
        <v>0</v>
      </c>
      <c r="AF149" s="27">
        <f t="shared" si="156"/>
        <v>0.004166666667</v>
      </c>
      <c r="AG149" s="27">
        <f t="shared" si="156"/>
        <v>0</v>
      </c>
      <c r="AH149" s="27">
        <f t="shared" si="156"/>
        <v>0.0125</v>
      </c>
      <c r="AI149" s="27">
        <f t="shared" si="156"/>
        <v>0.0125</v>
      </c>
      <c r="AJ149" s="27">
        <f t="shared" si="156"/>
        <v>0</v>
      </c>
      <c r="AK149" s="27">
        <f t="shared" si="156"/>
        <v>0</v>
      </c>
    </row>
    <row r="150" ht="15.75" customHeight="1">
      <c r="A150" s="27">
        <v>149.0</v>
      </c>
      <c r="B150" s="27"/>
      <c r="C150" s="27">
        <f t="shared" si="2"/>
        <v>0</v>
      </c>
      <c r="D150" s="27">
        <v>43.0</v>
      </c>
      <c r="E150" s="27">
        <f t="shared" si="3"/>
        <v>0</v>
      </c>
      <c r="G150" s="27">
        <f t="shared" si="4"/>
        <v>0</v>
      </c>
      <c r="H150" s="27">
        <v>561.0</v>
      </c>
      <c r="I150" s="27">
        <f t="shared" si="5"/>
        <v>0</v>
      </c>
      <c r="J150" s="27">
        <v>282.0</v>
      </c>
      <c r="K150" s="27">
        <f t="shared" si="6"/>
        <v>0</v>
      </c>
      <c r="L150" s="27">
        <v>209.0</v>
      </c>
      <c r="M150" s="27">
        <f t="shared" si="7"/>
        <v>0</v>
      </c>
      <c r="O150" s="27">
        <f t="shared" si="8"/>
        <v>0</v>
      </c>
      <c r="Q150" s="27">
        <f t="shared" si="9"/>
        <v>0</v>
      </c>
      <c r="S150" s="27">
        <v>331.0</v>
      </c>
      <c r="T150" s="27">
        <v>2.0</v>
      </c>
      <c r="U150" s="27">
        <v>0.0</v>
      </c>
      <c r="V150" s="27">
        <v>0.0</v>
      </c>
      <c r="W150" s="27">
        <v>0.0</v>
      </c>
      <c r="X150" s="27">
        <v>1.0</v>
      </c>
      <c r="Y150" s="27">
        <v>1.0</v>
      </c>
      <c r="Z150" s="27">
        <v>0.0</v>
      </c>
      <c r="AA150" s="27">
        <v>0.0</v>
      </c>
      <c r="AC150" s="27">
        <v>331.0</v>
      </c>
      <c r="AD150" s="27">
        <f t="shared" ref="AD150:AK150" si="157">T150/$S$1</f>
        <v>0.008333333333</v>
      </c>
      <c r="AE150" s="27">
        <f t="shared" si="157"/>
        <v>0</v>
      </c>
      <c r="AF150" s="27">
        <f t="shared" si="157"/>
        <v>0</v>
      </c>
      <c r="AG150" s="27">
        <f t="shared" si="157"/>
        <v>0</v>
      </c>
      <c r="AH150" s="27">
        <f t="shared" si="157"/>
        <v>0.004166666667</v>
      </c>
      <c r="AI150" s="27">
        <f t="shared" si="157"/>
        <v>0.004166666667</v>
      </c>
      <c r="AJ150" s="27">
        <f t="shared" si="157"/>
        <v>0</v>
      </c>
      <c r="AK150" s="27">
        <f t="shared" si="157"/>
        <v>0</v>
      </c>
    </row>
    <row r="151" ht="15.75" customHeight="1">
      <c r="A151" s="27">
        <v>150.0</v>
      </c>
      <c r="B151" s="27"/>
      <c r="C151" s="27">
        <f t="shared" si="2"/>
        <v>0</v>
      </c>
      <c r="D151" s="27">
        <v>295.0</v>
      </c>
      <c r="E151" s="27">
        <f t="shared" si="3"/>
        <v>0</v>
      </c>
      <c r="G151" s="27">
        <f t="shared" si="4"/>
        <v>0</v>
      </c>
      <c r="H151" s="27">
        <v>478.0</v>
      </c>
      <c r="I151" s="27">
        <f t="shared" si="5"/>
        <v>0</v>
      </c>
      <c r="J151" s="27">
        <v>287.0</v>
      </c>
      <c r="K151" s="27">
        <f t="shared" si="6"/>
        <v>0</v>
      </c>
      <c r="L151" s="27">
        <v>74.0</v>
      </c>
      <c r="M151" s="27">
        <f t="shared" si="7"/>
        <v>0</v>
      </c>
      <c r="O151" s="27">
        <f t="shared" si="8"/>
        <v>0</v>
      </c>
      <c r="Q151" s="27">
        <f t="shared" si="9"/>
        <v>0</v>
      </c>
      <c r="S151" s="27">
        <v>332.0</v>
      </c>
      <c r="T151" s="27">
        <v>1.0</v>
      </c>
      <c r="U151" s="27">
        <v>1.0</v>
      </c>
      <c r="V151" s="27">
        <v>1.0</v>
      </c>
      <c r="W151" s="27">
        <v>0.0</v>
      </c>
      <c r="X151" s="27">
        <v>1.0</v>
      </c>
      <c r="Y151" s="27">
        <v>1.0</v>
      </c>
      <c r="Z151" s="27">
        <v>0.0</v>
      </c>
      <c r="AA151" s="27">
        <v>1.0</v>
      </c>
      <c r="AC151" s="27">
        <v>332.0</v>
      </c>
      <c r="AD151" s="27">
        <f t="shared" ref="AD151:AK151" si="158">T151/$S$1</f>
        <v>0.004166666667</v>
      </c>
      <c r="AE151" s="27">
        <f t="shared" si="158"/>
        <v>0.004166666667</v>
      </c>
      <c r="AF151" s="27">
        <f t="shared" si="158"/>
        <v>0.004166666667</v>
      </c>
      <c r="AG151" s="27">
        <f t="shared" si="158"/>
        <v>0</v>
      </c>
      <c r="AH151" s="27">
        <f t="shared" si="158"/>
        <v>0.004166666667</v>
      </c>
      <c r="AI151" s="27">
        <f t="shared" si="158"/>
        <v>0.004166666667</v>
      </c>
      <c r="AJ151" s="27">
        <f t="shared" si="158"/>
        <v>0</v>
      </c>
      <c r="AK151" s="27">
        <f t="shared" si="158"/>
        <v>0.004166666667</v>
      </c>
    </row>
    <row r="152" ht="15.75" customHeight="1">
      <c r="A152" s="27">
        <v>74.0</v>
      </c>
      <c r="B152" s="27"/>
      <c r="C152" s="27">
        <f t="shared" si="2"/>
        <v>0</v>
      </c>
      <c r="D152" s="27">
        <v>311.0</v>
      </c>
      <c r="E152" s="27">
        <f t="shared" si="3"/>
        <v>0</v>
      </c>
      <c r="G152" s="27">
        <f t="shared" si="4"/>
        <v>0</v>
      </c>
      <c r="H152" s="27">
        <v>149.0</v>
      </c>
      <c r="I152" s="27">
        <f t="shared" si="5"/>
        <v>0</v>
      </c>
      <c r="J152" s="27">
        <v>25.0</v>
      </c>
      <c r="K152" s="27">
        <f t="shared" si="6"/>
        <v>0</v>
      </c>
      <c r="L152" s="27">
        <v>211.0</v>
      </c>
      <c r="M152" s="27">
        <f t="shared" si="7"/>
        <v>0</v>
      </c>
      <c r="O152" s="27">
        <f t="shared" si="8"/>
        <v>0</v>
      </c>
      <c r="Q152" s="27">
        <f t="shared" si="9"/>
        <v>0</v>
      </c>
      <c r="S152" s="27">
        <v>333.0</v>
      </c>
      <c r="T152" s="27">
        <v>2.0</v>
      </c>
      <c r="U152" s="27">
        <v>0.0</v>
      </c>
      <c r="V152" s="27">
        <v>0.0</v>
      </c>
      <c r="W152" s="27">
        <v>0.0</v>
      </c>
      <c r="X152" s="27">
        <v>0.0</v>
      </c>
      <c r="Y152" s="27">
        <v>2.0</v>
      </c>
      <c r="Z152" s="27">
        <v>0.0</v>
      </c>
      <c r="AA152" s="27">
        <v>0.0</v>
      </c>
      <c r="AC152" s="27">
        <v>333.0</v>
      </c>
      <c r="AD152" s="27">
        <f t="shared" ref="AD152:AK152" si="159">T152/$S$1</f>
        <v>0.008333333333</v>
      </c>
      <c r="AE152" s="27">
        <f t="shared" si="159"/>
        <v>0</v>
      </c>
      <c r="AF152" s="27">
        <f t="shared" si="159"/>
        <v>0</v>
      </c>
      <c r="AG152" s="27">
        <f t="shared" si="159"/>
        <v>0</v>
      </c>
      <c r="AH152" s="27">
        <f t="shared" si="159"/>
        <v>0</v>
      </c>
      <c r="AI152" s="27">
        <f t="shared" si="159"/>
        <v>0.008333333333</v>
      </c>
      <c r="AJ152" s="27">
        <f t="shared" si="159"/>
        <v>0</v>
      </c>
      <c r="AK152" s="27">
        <f t="shared" si="159"/>
        <v>0</v>
      </c>
    </row>
    <row r="153" ht="15.75" customHeight="1">
      <c r="A153" s="27">
        <v>74.0</v>
      </c>
      <c r="B153" s="27"/>
      <c r="C153" s="27">
        <f t="shared" si="2"/>
        <v>0</v>
      </c>
      <c r="D153" s="27">
        <v>312.0</v>
      </c>
      <c r="E153" s="27">
        <f t="shared" si="3"/>
        <v>0</v>
      </c>
      <c r="G153" s="27">
        <f t="shared" si="4"/>
        <v>0</v>
      </c>
      <c r="I153" s="27">
        <f t="shared" si="5"/>
        <v>0</v>
      </c>
      <c r="J153" s="27">
        <v>291.0</v>
      </c>
      <c r="K153" s="27">
        <f t="shared" si="6"/>
        <v>0</v>
      </c>
      <c r="L153" s="27">
        <v>23.0</v>
      </c>
      <c r="M153" s="27">
        <f t="shared" si="7"/>
        <v>0</v>
      </c>
      <c r="O153" s="27">
        <f t="shared" si="8"/>
        <v>0</v>
      </c>
      <c r="Q153" s="27">
        <f t="shared" si="9"/>
        <v>0</v>
      </c>
      <c r="S153" s="27">
        <v>334.0</v>
      </c>
      <c r="T153" s="27">
        <v>1.0</v>
      </c>
      <c r="U153" s="27">
        <v>1.0</v>
      </c>
      <c r="V153" s="27">
        <v>1.0</v>
      </c>
      <c r="W153" s="27">
        <v>0.0</v>
      </c>
      <c r="X153" s="27">
        <v>1.0</v>
      </c>
      <c r="Y153" s="27">
        <v>1.0</v>
      </c>
      <c r="Z153" s="27">
        <v>0.0</v>
      </c>
      <c r="AA153" s="27">
        <v>0.0</v>
      </c>
      <c r="AC153" s="27">
        <v>334.0</v>
      </c>
      <c r="AD153" s="27">
        <f t="shared" ref="AD153:AK153" si="160">T153/$S$1</f>
        <v>0.004166666667</v>
      </c>
      <c r="AE153" s="27">
        <f t="shared" si="160"/>
        <v>0.004166666667</v>
      </c>
      <c r="AF153" s="27">
        <f t="shared" si="160"/>
        <v>0.004166666667</v>
      </c>
      <c r="AG153" s="27">
        <f t="shared" si="160"/>
        <v>0</v>
      </c>
      <c r="AH153" s="27">
        <f t="shared" si="160"/>
        <v>0.004166666667</v>
      </c>
      <c r="AI153" s="27">
        <f t="shared" si="160"/>
        <v>0.004166666667</v>
      </c>
      <c r="AJ153" s="27">
        <f t="shared" si="160"/>
        <v>0</v>
      </c>
      <c r="AK153" s="27">
        <f t="shared" si="160"/>
        <v>0</v>
      </c>
    </row>
    <row r="154" ht="15.75" customHeight="1">
      <c r="A154" s="27">
        <v>153.0</v>
      </c>
      <c r="B154" s="27"/>
      <c r="C154" s="27">
        <f t="shared" si="2"/>
        <v>0</v>
      </c>
      <c r="D154" s="27">
        <v>313.0</v>
      </c>
      <c r="E154" s="27">
        <f t="shared" si="3"/>
        <v>0</v>
      </c>
      <c r="G154" s="27">
        <f t="shared" si="4"/>
        <v>0</v>
      </c>
      <c r="I154" s="27">
        <f t="shared" si="5"/>
        <v>0</v>
      </c>
      <c r="J154" s="27">
        <v>294.0</v>
      </c>
      <c r="K154" s="27">
        <f t="shared" si="6"/>
        <v>0</v>
      </c>
      <c r="L154" s="27">
        <v>74.0</v>
      </c>
      <c r="M154" s="27">
        <f t="shared" si="7"/>
        <v>0</v>
      </c>
      <c r="O154" s="27">
        <f t="shared" si="8"/>
        <v>0</v>
      </c>
      <c r="Q154" s="27">
        <f t="shared" si="9"/>
        <v>0</v>
      </c>
      <c r="S154" s="27">
        <v>335.0</v>
      </c>
      <c r="T154" s="27">
        <v>1.0</v>
      </c>
      <c r="U154" s="27">
        <v>0.0</v>
      </c>
      <c r="V154" s="27">
        <v>0.0</v>
      </c>
      <c r="W154" s="27">
        <v>0.0</v>
      </c>
      <c r="X154" s="27">
        <v>1.0</v>
      </c>
      <c r="Y154" s="27">
        <v>0.0</v>
      </c>
      <c r="Z154" s="27">
        <v>0.0</v>
      </c>
      <c r="AA154" s="27">
        <v>0.0</v>
      </c>
      <c r="AC154" s="27">
        <v>335.0</v>
      </c>
      <c r="AD154" s="27">
        <f t="shared" ref="AD154:AK154" si="161">T154/$S$1</f>
        <v>0.004166666667</v>
      </c>
      <c r="AE154" s="27">
        <f t="shared" si="161"/>
        <v>0</v>
      </c>
      <c r="AF154" s="27">
        <f t="shared" si="161"/>
        <v>0</v>
      </c>
      <c r="AG154" s="27">
        <f t="shared" si="161"/>
        <v>0</v>
      </c>
      <c r="AH154" s="27">
        <f t="shared" si="161"/>
        <v>0.004166666667</v>
      </c>
      <c r="AI154" s="27">
        <f t="shared" si="161"/>
        <v>0</v>
      </c>
      <c r="AJ154" s="27">
        <f t="shared" si="161"/>
        <v>0</v>
      </c>
      <c r="AK154" s="27">
        <f t="shared" si="161"/>
        <v>0</v>
      </c>
    </row>
    <row r="155" ht="15.75" customHeight="1">
      <c r="A155" s="27">
        <v>17.0</v>
      </c>
      <c r="B155" s="27"/>
      <c r="C155" s="27">
        <f t="shared" si="2"/>
        <v>0</v>
      </c>
      <c r="D155" s="27">
        <v>52.0</v>
      </c>
      <c r="E155" s="27">
        <f t="shared" si="3"/>
        <v>0</v>
      </c>
      <c r="G155" s="27">
        <f t="shared" si="4"/>
        <v>0</v>
      </c>
      <c r="I155" s="27">
        <f t="shared" si="5"/>
        <v>0</v>
      </c>
      <c r="J155" s="27">
        <v>282.0</v>
      </c>
      <c r="K155" s="27">
        <f t="shared" si="6"/>
        <v>0</v>
      </c>
      <c r="L155" s="27">
        <v>74.0</v>
      </c>
      <c r="M155" s="27">
        <f t="shared" si="7"/>
        <v>0</v>
      </c>
      <c r="O155" s="27">
        <f t="shared" si="8"/>
        <v>0</v>
      </c>
      <c r="Q155" s="27">
        <f t="shared" si="9"/>
        <v>0</v>
      </c>
      <c r="S155" s="27">
        <v>337.0</v>
      </c>
      <c r="T155" s="27">
        <v>5.0</v>
      </c>
      <c r="U155" s="27">
        <v>0.0</v>
      </c>
      <c r="V155" s="27">
        <v>0.0</v>
      </c>
      <c r="W155" s="27">
        <v>0.0</v>
      </c>
      <c r="X155" s="27">
        <v>3.0</v>
      </c>
      <c r="Y155" s="27">
        <v>1.0</v>
      </c>
      <c r="Z155" s="27">
        <v>0.0</v>
      </c>
      <c r="AA155" s="27">
        <v>0.0</v>
      </c>
      <c r="AC155" s="27">
        <v>337.0</v>
      </c>
      <c r="AD155" s="27">
        <f t="shared" ref="AD155:AK155" si="162">T155/$S$1</f>
        <v>0.02083333333</v>
      </c>
      <c r="AE155" s="27">
        <f t="shared" si="162"/>
        <v>0</v>
      </c>
      <c r="AF155" s="27">
        <f t="shared" si="162"/>
        <v>0</v>
      </c>
      <c r="AG155" s="27">
        <f t="shared" si="162"/>
        <v>0</v>
      </c>
      <c r="AH155" s="27">
        <f t="shared" si="162"/>
        <v>0.0125</v>
      </c>
      <c r="AI155" s="27">
        <f t="shared" si="162"/>
        <v>0.004166666667</v>
      </c>
      <c r="AJ155" s="27">
        <f t="shared" si="162"/>
        <v>0</v>
      </c>
      <c r="AK155" s="27">
        <f t="shared" si="162"/>
        <v>0</v>
      </c>
    </row>
    <row r="156" ht="15.75" customHeight="1">
      <c r="A156" s="27">
        <v>120.0</v>
      </c>
      <c r="B156" s="27"/>
      <c r="C156" s="27">
        <f t="shared" si="2"/>
        <v>0</v>
      </c>
      <c r="D156" s="27">
        <v>74.0</v>
      </c>
      <c r="E156" s="27">
        <f t="shared" si="3"/>
        <v>0</v>
      </c>
      <c r="G156" s="27">
        <f t="shared" si="4"/>
        <v>0</v>
      </c>
      <c r="I156" s="27">
        <f t="shared" si="5"/>
        <v>0</v>
      </c>
      <c r="J156" s="27">
        <v>200.0</v>
      </c>
      <c r="K156" s="27">
        <f t="shared" si="6"/>
        <v>0</v>
      </c>
      <c r="L156" s="27">
        <v>218.0</v>
      </c>
      <c r="M156" s="27">
        <f t="shared" si="7"/>
        <v>0</v>
      </c>
      <c r="O156" s="27">
        <f t="shared" si="8"/>
        <v>0</v>
      </c>
      <c r="Q156" s="27">
        <f t="shared" si="9"/>
        <v>0</v>
      </c>
      <c r="S156" s="27">
        <v>339.0</v>
      </c>
      <c r="T156" s="27">
        <v>1.0</v>
      </c>
      <c r="U156" s="27">
        <v>1.0</v>
      </c>
      <c r="V156" s="27">
        <v>1.0</v>
      </c>
      <c r="W156" s="27">
        <v>0.0</v>
      </c>
      <c r="X156" s="27">
        <v>0.0</v>
      </c>
      <c r="Y156" s="27">
        <v>1.0</v>
      </c>
      <c r="Z156" s="27">
        <v>0.0</v>
      </c>
      <c r="AA156" s="27">
        <v>0.0</v>
      </c>
      <c r="AC156" s="27">
        <v>339.0</v>
      </c>
      <c r="AD156" s="27">
        <f t="shared" ref="AD156:AK156" si="163">T156/$S$1</f>
        <v>0.004166666667</v>
      </c>
      <c r="AE156" s="27">
        <f t="shared" si="163"/>
        <v>0.004166666667</v>
      </c>
      <c r="AF156" s="27">
        <f t="shared" si="163"/>
        <v>0.004166666667</v>
      </c>
      <c r="AG156" s="27">
        <f t="shared" si="163"/>
        <v>0</v>
      </c>
      <c r="AH156" s="27">
        <f t="shared" si="163"/>
        <v>0</v>
      </c>
      <c r="AI156" s="27">
        <f t="shared" si="163"/>
        <v>0.004166666667</v>
      </c>
      <c r="AJ156" s="27">
        <f t="shared" si="163"/>
        <v>0</v>
      </c>
      <c r="AK156" s="27">
        <f t="shared" si="163"/>
        <v>0</v>
      </c>
    </row>
    <row r="157" ht="15.75" customHeight="1">
      <c r="A157" s="27">
        <v>156.0</v>
      </c>
      <c r="B157" s="27"/>
      <c r="C157" s="27">
        <f t="shared" si="2"/>
        <v>0</v>
      </c>
      <c r="D157" s="27">
        <v>325.0</v>
      </c>
      <c r="E157" s="27">
        <f t="shared" si="3"/>
        <v>0</v>
      </c>
      <c r="G157" s="27">
        <f t="shared" si="4"/>
        <v>0</v>
      </c>
      <c r="I157" s="27">
        <f t="shared" si="5"/>
        <v>0</v>
      </c>
      <c r="J157" s="27">
        <v>50.0</v>
      </c>
      <c r="K157" s="27">
        <f t="shared" si="6"/>
        <v>0</v>
      </c>
      <c r="L157" s="27">
        <v>74.0</v>
      </c>
      <c r="M157" s="27">
        <f t="shared" si="7"/>
        <v>0</v>
      </c>
      <c r="O157" s="27">
        <f t="shared" si="8"/>
        <v>0</v>
      </c>
      <c r="Q157" s="27">
        <f t="shared" si="9"/>
        <v>0</v>
      </c>
      <c r="S157" s="27">
        <v>340.0</v>
      </c>
      <c r="T157" s="27">
        <v>21.0</v>
      </c>
      <c r="U157" s="27">
        <v>0.0</v>
      </c>
      <c r="V157" s="27">
        <v>2.0</v>
      </c>
      <c r="W157" s="27">
        <v>0.0</v>
      </c>
      <c r="X157" s="27">
        <v>4.0</v>
      </c>
      <c r="Y157" s="27">
        <v>21.0</v>
      </c>
      <c r="Z157" s="27">
        <v>0.0</v>
      </c>
      <c r="AA157" s="27">
        <v>12.0</v>
      </c>
      <c r="AC157" s="27">
        <v>340.0</v>
      </c>
      <c r="AD157" s="27">
        <f t="shared" ref="AD157:AK157" si="164">T157/$S$1</f>
        <v>0.0875</v>
      </c>
      <c r="AE157" s="27">
        <f t="shared" si="164"/>
        <v>0</v>
      </c>
      <c r="AF157" s="27">
        <f t="shared" si="164"/>
        <v>0.008333333333</v>
      </c>
      <c r="AG157" s="27">
        <f t="shared" si="164"/>
        <v>0</v>
      </c>
      <c r="AH157" s="27">
        <f t="shared" si="164"/>
        <v>0.01666666667</v>
      </c>
      <c r="AI157" s="27">
        <f t="shared" si="164"/>
        <v>0.0875</v>
      </c>
      <c r="AJ157" s="27">
        <f t="shared" si="164"/>
        <v>0</v>
      </c>
      <c r="AK157" s="27">
        <f t="shared" si="164"/>
        <v>0.05</v>
      </c>
    </row>
    <row r="158" ht="15.75" customHeight="1">
      <c r="A158" s="27">
        <v>66.0</v>
      </c>
      <c r="B158" s="27"/>
      <c r="C158" s="27">
        <f t="shared" si="2"/>
        <v>0</v>
      </c>
      <c r="D158" s="27">
        <v>330.0</v>
      </c>
      <c r="E158" s="27">
        <f t="shared" si="3"/>
        <v>0</v>
      </c>
      <c r="G158" s="27">
        <f t="shared" si="4"/>
        <v>0</v>
      </c>
      <c r="I158" s="27">
        <f t="shared" si="5"/>
        <v>0</v>
      </c>
      <c r="J158" s="27">
        <v>144.0</v>
      </c>
      <c r="K158" s="27">
        <f t="shared" si="6"/>
        <v>0</v>
      </c>
      <c r="L158" s="27">
        <v>221.0</v>
      </c>
      <c r="M158" s="27">
        <f t="shared" si="7"/>
        <v>0</v>
      </c>
      <c r="O158" s="27">
        <f t="shared" si="8"/>
        <v>0</v>
      </c>
      <c r="Q158" s="27">
        <f t="shared" si="9"/>
        <v>0</v>
      </c>
      <c r="S158" s="27">
        <v>342.0</v>
      </c>
      <c r="T158" s="27">
        <v>1.0</v>
      </c>
      <c r="U158" s="27">
        <v>0.0</v>
      </c>
      <c r="V158" s="27">
        <v>0.0</v>
      </c>
      <c r="W158" s="27">
        <v>0.0</v>
      </c>
      <c r="X158" s="27">
        <v>1.0</v>
      </c>
      <c r="Y158" s="27">
        <v>1.0</v>
      </c>
      <c r="Z158" s="27">
        <v>0.0</v>
      </c>
      <c r="AA158" s="27">
        <v>0.0</v>
      </c>
      <c r="AC158" s="27">
        <v>342.0</v>
      </c>
      <c r="AD158" s="27">
        <f t="shared" ref="AD158:AK158" si="165">T158/$S$1</f>
        <v>0.004166666667</v>
      </c>
      <c r="AE158" s="27">
        <f t="shared" si="165"/>
        <v>0</v>
      </c>
      <c r="AF158" s="27">
        <f t="shared" si="165"/>
        <v>0</v>
      </c>
      <c r="AG158" s="27">
        <f t="shared" si="165"/>
        <v>0</v>
      </c>
      <c r="AH158" s="27">
        <f t="shared" si="165"/>
        <v>0.004166666667</v>
      </c>
      <c r="AI158" s="27">
        <f t="shared" si="165"/>
        <v>0.004166666667</v>
      </c>
      <c r="AJ158" s="27">
        <f t="shared" si="165"/>
        <v>0</v>
      </c>
      <c r="AK158" s="27">
        <f t="shared" si="165"/>
        <v>0</v>
      </c>
    </row>
    <row r="159" ht="15.75" customHeight="1">
      <c r="A159" s="27">
        <v>158.0</v>
      </c>
      <c r="B159" s="27"/>
      <c r="C159" s="27">
        <f t="shared" si="2"/>
        <v>0</v>
      </c>
      <c r="D159" s="27">
        <v>331.0</v>
      </c>
      <c r="E159" s="27">
        <f t="shared" si="3"/>
        <v>0</v>
      </c>
      <c r="G159" s="27">
        <f t="shared" si="4"/>
        <v>0</v>
      </c>
      <c r="I159" s="27">
        <f t="shared" si="5"/>
        <v>0</v>
      </c>
      <c r="J159" s="27">
        <v>302.0</v>
      </c>
      <c r="K159" s="27">
        <f t="shared" si="6"/>
        <v>0</v>
      </c>
      <c r="L159" s="27">
        <v>42.0</v>
      </c>
      <c r="M159" s="27">
        <f t="shared" si="7"/>
        <v>0</v>
      </c>
      <c r="O159" s="27">
        <f t="shared" si="8"/>
        <v>0</v>
      </c>
      <c r="Q159" s="27">
        <f t="shared" si="9"/>
        <v>0</v>
      </c>
      <c r="S159" s="27">
        <v>345.0</v>
      </c>
      <c r="T159" s="27">
        <v>3.0</v>
      </c>
      <c r="U159" s="27">
        <v>2.0</v>
      </c>
      <c r="V159" s="27">
        <v>3.0</v>
      </c>
      <c r="W159" s="27">
        <v>0.0</v>
      </c>
      <c r="X159" s="27">
        <v>1.0</v>
      </c>
      <c r="Y159" s="27">
        <v>0.0</v>
      </c>
      <c r="Z159" s="27">
        <v>0.0</v>
      </c>
      <c r="AA159" s="27">
        <v>0.0</v>
      </c>
      <c r="AC159" s="27">
        <v>345.0</v>
      </c>
      <c r="AD159" s="27">
        <f t="shared" ref="AD159:AK159" si="166">T159/$S$1</f>
        <v>0.0125</v>
      </c>
      <c r="AE159" s="27">
        <f t="shared" si="166"/>
        <v>0.008333333333</v>
      </c>
      <c r="AF159" s="27">
        <f t="shared" si="166"/>
        <v>0.0125</v>
      </c>
      <c r="AG159" s="27">
        <f t="shared" si="166"/>
        <v>0</v>
      </c>
      <c r="AH159" s="27">
        <f t="shared" si="166"/>
        <v>0.004166666667</v>
      </c>
      <c r="AI159" s="27">
        <f t="shared" si="166"/>
        <v>0</v>
      </c>
      <c r="AJ159" s="27">
        <f t="shared" si="166"/>
        <v>0</v>
      </c>
      <c r="AK159" s="27">
        <f t="shared" si="166"/>
        <v>0</v>
      </c>
    </row>
    <row r="160" ht="15.75" customHeight="1">
      <c r="A160" s="27">
        <v>52.0</v>
      </c>
      <c r="B160" s="27"/>
      <c r="C160" s="27">
        <f t="shared" si="2"/>
        <v>0</v>
      </c>
      <c r="D160" s="27">
        <v>332.0</v>
      </c>
      <c r="E160" s="27">
        <f t="shared" si="3"/>
        <v>0</v>
      </c>
      <c r="G160" s="27">
        <f t="shared" si="4"/>
        <v>0</v>
      </c>
      <c r="I160" s="27">
        <f t="shared" si="5"/>
        <v>0</v>
      </c>
      <c r="J160" s="27">
        <v>25.0</v>
      </c>
      <c r="K160" s="27">
        <f t="shared" si="6"/>
        <v>0</v>
      </c>
      <c r="L160" s="27">
        <v>43.0</v>
      </c>
      <c r="M160" s="27">
        <f t="shared" si="7"/>
        <v>0</v>
      </c>
      <c r="O160" s="27">
        <f t="shared" si="8"/>
        <v>0</v>
      </c>
      <c r="Q160" s="27">
        <f t="shared" si="9"/>
        <v>0</v>
      </c>
      <c r="S160" s="27">
        <v>346.0</v>
      </c>
      <c r="T160" s="27">
        <v>1.0</v>
      </c>
      <c r="U160" s="27">
        <v>0.0</v>
      </c>
      <c r="V160" s="27">
        <v>0.0</v>
      </c>
      <c r="W160" s="27">
        <v>0.0</v>
      </c>
      <c r="X160" s="27">
        <v>1.0</v>
      </c>
      <c r="Y160" s="27">
        <v>1.0</v>
      </c>
      <c r="Z160" s="27">
        <v>0.0</v>
      </c>
      <c r="AA160" s="27">
        <v>0.0</v>
      </c>
      <c r="AC160" s="27">
        <v>346.0</v>
      </c>
      <c r="AD160" s="27">
        <f t="shared" ref="AD160:AK160" si="167">T160/$S$1</f>
        <v>0.004166666667</v>
      </c>
      <c r="AE160" s="27">
        <f t="shared" si="167"/>
        <v>0</v>
      </c>
      <c r="AF160" s="27">
        <f t="shared" si="167"/>
        <v>0</v>
      </c>
      <c r="AG160" s="27">
        <f t="shared" si="167"/>
        <v>0</v>
      </c>
      <c r="AH160" s="27">
        <f t="shared" si="167"/>
        <v>0.004166666667</v>
      </c>
      <c r="AI160" s="27">
        <f t="shared" si="167"/>
        <v>0.004166666667</v>
      </c>
      <c r="AJ160" s="27">
        <f t="shared" si="167"/>
        <v>0</v>
      </c>
      <c r="AK160" s="27">
        <f t="shared" si="167"/>
        <v>0</v>
      </c>
    </row>
    <row r="161" ht="15.75" customHeight="1">
      <c r="A161" s="27">
        <v>74.0</v>
      </c>
      <c r="B161" s="27"/>
      <c r="C161" s="27">
        <f t="shared" si="2"/>
        <v>0</v>
      </c>
      <c r="D161" s="27">
        <v>333.0</v>
      </c>
      <c r="E161" s="27">
        <f t="shared" si="3"/>
        <v>0</v>
      </c>
      <c r="G161" s="27">
        <f t="shared" si="4"/>
        <v>0</v>
      </c>
      <c r="I161" s="27">
        <f t="shared" si="5"/>
        <v>0</v>
      </c>
      <c r="J161" s="27">
        <v>306.0</v>
      </c>
      <c r="K161" s="27">
        <f t="shared" si="6"/>
        <v>0</v>
      </c>
      <c r="L161" s="27">
        <v>120.0</v>
      </c>
      <c r="M161" s="27">
        <f t="shared" si="7"/>
        <v>0</v>
      </c>
      <c r="O161" s="27">
        <f t="shared" si="8"/>
        <v>0</v>
      </c>
      <c r="Q161" s="27">
        <f t="shared" si="9"/>
        <v>0</v>
      </c>
      <c r="S161" s="27">
        <v>347.0</v>
      </c>
      <c r="T161" s="27">
        <v>1.0</v>
      </c>
      <c r="U161" s="27">
        <v>0.0</v>
      </c>
      <c r="V161" s="27">
        <v>1.0</v>
      </c>
      <c r="W161" s="27">
        <v>0.0</v>
      </c>
      <c r="X161" s="27">
        <v>1.0</v>
      </c>
      <c r="Y161" s="27">
        <v>0.0</v>
      </c>
      <c r="Z161" s="27">
        <v>0.0</v>
      </c>
      <c r="AA161" s="27">
        <v>0.0</v>
      </c>
      <c r="AC161" s="27">
        <v>347.0</v>
      </c>
      <c r="AD161" s="27">
        <f t="shared" ref="AD161:AK161" si="168">T161/$S$1</f>
        <v>0.004166666667</v>
      </c>
      <c r="AE161" s="27">
        <f t="shared" si="168"/>
        <v>0</v>
      </c>
      <c r="AF161" s="27">
        <f t="shared" si="168"/>
        <v>0.004166666667</v>
      </c>
      <c r="AG161" s="27">
        <f t="shared" si="168"/>
        <v>0</v>
      </c>
      <c r="AH161" s="27">
        <f t="shared" si="168"/>
        <v>0.004166666667</v>
      </c>
      <c r="AI161" s="27">
        <f t="shared" si="168"/>
        <v>0</v>
      </c>
      <c r="AJ161" s="27">
        <f t="shared" si="168"/>
        <v>0</v>
      </c>
      <c r="AK161" s="27">
        <f t="shared" si="168"/>
        <v>0</v>
      </c>
    </row>
    <row r="162" ht="15.75" customHeight="1">
      <c r="A162" s="27">
        <v>25.0</v>
      </c>
      <c r="B162" s="27"/>
      <c r="C162" s="27">
        <f t="shared" si="2"/>
        <v>0</v>
      </c>
      <c r="D162" s="27">
        <v>334.0</v>
      </c>
      <c r="E162" s="27">
        <f t="shared" si="3"/>
        <v>0</v>
      </c>
      <c r="G162" s="27">
        <f t="shared" si="4"/>
        <v>0</v>
      </c>
      <c r="I162" s="27">
        <f t="shared" si="5"/>
        <v>0</v>
      </c>
      <c r="J162" s="27">
        <v>311.0</v>
      </c>
      <c r="K162" s="27">
        <f t="shared" si="6"/>
        <v>0</v>
      </c>
      <c r="L162" s="27">
        <v>120.0</v>
      </c>
      <c r="M162" s="27">
        <f t="shared" si="7"/>
        <v>0</v>
      </c>
      <c r="O162" s="27">
        <f t="shared" si="8"/>
        <v>0</v>
      </c>
      <c r="Q162" s="27">
        <f t="shared" si="9"/>
        <v>0</v>
      </c>
      <c r="S162" s="27">
        <v>348.0</v>
      </c>
      <c r="T162" s="27">
        <v>1.0</v>
      </c>
      <c r="U162" s="27">
        <v>0.0</v>
      </c>
      <c r="V162" s="27">
        <v>1.0</v>
      </c>
      <c r="W162" s="27">
        <v>0.0</v>
      </c>
      <c r="X162" s="27">
        <v>0.0</v>
      </c>
      <c r="Y162" s="27">
        <v>0.0</v>
      </c>
      <c r="Z162" s="27">
        <v>0.0</v>
      </c>
      <c r="AA162" s="27">
        <v>0.0</v>
      </c>
      <c r="AC162" s="27">
        <v>348.0</v>
      </c>
      <c r="AD162" s="27">
        <f t="shared" ref="AD162:AK162" si="169">T162/$S$1</f>
        <v>0.004166666667</v>
      </c>
      <c r="AE162" s="27">
        <f t="shared" si="169"/>
        <v>0</v>
      </c>
      <c r="AF162" s="27">
        <f t="shared" si="169"/>
        <v>0.004166666667</v>
      </c>
      <c r="AG162" s="27">
        <f t="shared" si="169"/>
        <v>0</v>
      </c>
      <c r="AH162" s="27">
        <f t="shared" si="169"/>
        <v>0</v>
      </c>
      <c r="AI162" s="27">
        <f t="shared" si="169"/>
        <v>0</v>
      </c>
      <c r="AJ162" s="27">
        <f t="shared" si="169"/>
        <v>0</v>
      </c>
      <c r="AK162" s="27">
        <f t="shared" si="169"/>
        <v>0</v>
      </c>
    </row>
    <row r="163" ht="15.75" customHeight="1">
      <c r="A163" s="27">
        <v>25.0</v>
      </c>
      <c r="B163" s="27"/>
      <c r="C163" s="27">
        <f t="shared" si="2"/>
        <v>0</v>
      </c>
      <c r="D163" s="27">
        <v>330.0</v>
      </c>
      <c r="E163" s="27">
        <f t="shared" si="3"/>
        <v>0</v>
      </c>
      <c r="G163" s="27">
        <f t="shared" si="4"/>
        <v>0</v>
      </c>
      <c r="I163" s="27">
        <f t="shared" si="5"/>
        <v>0</v>
      </c>
      <c r="J163" s="27">
        <v>313.0</v>
      </c>
      <c r="K163" s="27">
        <f t="shared" si="6"/>
        <v>0</v>
      </c>
      <c r="L163" s="27">
        <v>227.0</v>
      </c>
      <c r="M163" s="27">
        <f t="shared" si="7"/>
        <v>0</v>
      </c>
      <c r="O163" s="27">
        <f t="shared" si="8"/>
        <v>0</v>
      </c>
      <c r="Q163" s="27">
        <f t="shared" si="9"/>
        <v>0</v>
      </c>
      <c r="S163" s="27">
        <v>350.0</v>
      </c>
      <c r="T163" s="27">
        <v>1.0</v>
      </c>
      <c r="U163" s="27">
        <v>0.0</v>
      </c>
      <c r="V163" s="27">
        <v>1.0</v>
      </c>
      <c r="W163" s="27">
        <v>0.0</v>
      </c>
      <c r="X163" s="27">
        <v>1.0</v>
      </c>
      <c r="Y163" s="27">
        <v>0.0</v>
      </c>
      <c r="Z163" s="27">
        <v>0.0</v>
      </c>
      <c r="AA163" s="27">
        <v>0.0</v>
      </c>
      <c r="AC163" s="27">
        <v>350.0</v>
      </c>
      <c r="AD163" s="27">
        <f t="shared" ref="AD163:AK163" si="170">T163/$S$1</f>
        <v>0.004166666667</v>
      </c>
      <c r="AE163" s="27">
        <f t="shared" si="170"/>
        <v>0</v>
      </c>
      <c r="AF163" s="27">
        <f t="shared" si="170"/>
        <v>0.004166666667</v>
      </c>
      <c r="AG163" s="27">
        <f t="shared" si="170"/>
        <v>0</v>
      </c>
      <c r="AH163" s="27">
        <f t="shared" si="170"/>
        <v>0.004166666667</v>
      </c>
      <c r="AI163" s="27">
        <f t="shared" si="170"/>
        <v>0</v>
      </c>
      <c r="AJ163" s="27">
        <f t="shared" si="170"/>
        <v>0</v>
      </c>
      <c r="AK163" s="27">
        <f t="shared" si="170"/>
        <v>0</v>
      </c>
    </row>
    <row r="164" ht="15.75" customHeight="1">
      <c r="A164" s="27">
        <v>24.0</v>
      </c>
      <c r="B164" s="27"/>
      <c r="C164" s="27">
        <f t="shared" si="2"/>
        <v>0</v>
      </c>
      <c r="D164" s="27">
        <v>339.0</v>
      </c>
      <c r="E164" s="27">
        <f t="shared" si="3"/>
        <v>0</v>
      </c>
      <c r="G164" s="27">
        <f t="shared" si="4"/>
        <v>0</v>
      </c>
      <c r="I164" s="27">
        <f t="shared" si="5"/>
        <v>0</v>
      </c>
      <c r="J164" s="27">
        <v>314.0</v>
      </c>
      <c r="K164" s="27">
        <f t="shared" si="6"/>
        <v>0</v>
      </c>
      <c r="L164" s="27">
        <v>130.0</v>
      </c>
      <c r="M164" s="27">
        <f t="shared" si="7"/>
        <v>0</v>
      </c>
      <c r="O164" s="27">
        <f t="shared" si="8"/>
        <v>0</v>
      </c>
      <c r="Q164" s="27">
        <f t="shared" si="9"/>
        <v>0</v>
      </c>
      <c r="S164" s="27">
        <v>352.0</v>
      </c>
      <c r="T164" s="27">
        <v>1.0</v>
      </c>
      <c r="U164" s="27">
        <v>0.0</v>
      </c>
      <c r="V164" s="27">
        <v>0.0</v>
      </c>
      <c r="W164" s="27">
        <v>0.0</v>
      </c>
      <c r="X164" s="27">
        <v>1.0</v>
      </c>
      <c r="Y164" s="27">
        <v>1.0</v>
      </c>
      <c r="Z164" s="27">
        <v>0.0</v>
      </c>
      <c r="AA164" s="27">
        <v>0.0</v>
      </c>
      <c r="AC164" s="27">
        <v>352.0</v>
      </c>
      <c r="AD164" s="27">
        <f t="shared" ref="AD164:AK164" si="171">T164/$S$1</f>
        <v>0.004166666667</v>
      </c>
      <c r="AE164" s="27">
        <f t="shared" si="171"/>
        <v>0</v>
      </c>
      <c r="AF164" s="27">
        <f t="shared" si="171"/>
        <v>0</v>
      </c>
      <c r="AG164" s="27">
        <f t="shared" si="171"/>
        <v>0</v>
      </c>
      <c r="AH164" s="27">
        <f t="shared" si="171"/>
        <v>0.004166666667</v>
      </c>
      <c r="AI164" s="27">
        <f t="shared" si="171"/>
        <v>0.004166666667</v>
      </c>
      <c r="AJ164" s="27">
        <f t="shared" si="171"/>
        <v>0</v>
      </c>
      <c r="AK164" s="27">
        <f t="shared" si="171"/>
        <v>0</v>
      </c>
    </row>
    <row r="165" ht="15.75" customHeight="1">
      <c r="A165" s="27">
        <v>164.0</v>
      </c>
      <c r="B165" s="27"/>
      <c r="C165" s="27">
        <f t="shared" si="2"/>
        <v>0</v>
      </c>
      <c r="D165" s="27">
        <v>340.0</v>
      </c>
      <c r="E165" s="27">
        <f t="shared" si="3"/>
        <v>0</v>
      </c>
      <c r="G165" s="27">
        <f t="shared" si="4"/>
        <v>0</v>
      </c>
      <c r="I165" s="27">
        <f t="shared" si="5"/>
        <v>0</v>
      </c>
      <c r="J165" s="27">
        <v>52.0</v>
      </c>
      <c r="K165" s="27">
        <f t="shared" si="6"/>
        <v>0</v>
      </c>
      <c r="L165" s="27">
        <v>127.0</v>
      </c>
      <c r="M165" s="27">
        <f t="shared" si="7"/>
        <v>0</v>
      </c>
      <c r="O165" s="27">
        <f t="shared" si="8"/>
        <v>0</v>
      </c>
      <c r="Q165" s="27">
        <f t="shared" si="9"/>
        <v>0</v>
      </c>
      <c r="S165" s="27">
        <v>353.0</v>
      </c>
      <c r="T165" s="27">
        <v>2.0</v>
      </c>
      <c r="U165" s="27">
        <v>0.0</v>
      </c>
      <c r="V165" s="27">
        <v>0.0</v>
      </c>
      <c r="W165" s="27">
        <v>0.0</v>
      </c>
      <c r="X165" s="27">
        <v>1.0</v>
      </c>
      <c r="Y165" s="27">
        <v>2.0</v>
      </c>
      <c r="Z165" s="27">
        <v>0.0</v>
      </c>
      <c r="AA165" s="27">
        <v>0.0</v>
      </c>
      <c r="AC165" s="27">
        <v>353.0</v>
      </c>
      <c r="AD165" s="27">
        <f t="shared" ref="AD165:AK165" si="172">T165/$S$1</f>
        <v>0.008333333333</v>
      </c>
      <c r="AE165" s="27">
        <f t="shared" si="172"/>
        <v>0</v>
      </c>
      <c r="AF165" s="27">
        <f t="shared" si="172"/>
        <v>0</v>
      </c>
      <c r="AG165" s="27">
        <f t="shared" si="172"/>
        <v>0</v>
      </c>
      <c r="AH165" s="27">
        <f t="shared" si="172"/>
        <v>0.004166666667</v>
      </c>
      <c r="AI165" s="27">
        <f t="shared" si="172"/>
        <v>0.008333333333</v>
      </c>
      <c r="AJ165" s="27">
        <f t="shared" si="172"/>
        <v>0</v>
      </c>
      <c r="AK165" s="27">
        <f t="shared" si="172"/>
        <v>0</v>
      </c>
    </row>
    <row r="166" ht="15.75" customHeight="1">
      <c r="A166" s="27">
        <v>12.0</v>
      </c>
      <c r="B166" s="27"/>
      <c r="C166" s="27">
        <f t="shared" si="2"/>
        <v>0</v>
      </c>
      <c r="D166" s="27">
        <v>342.0</v>
      </c>
      <c r="E166" s="27">
        <f t="shared" si="3"/>
        <v>0</v>
      </c>
      <c r="G166" s="27">
        <f t="shared" si="4"/>
        <v>0</v>
      </c>
      <c r="I166" s="27">
        <f t="shared" si="5"/>
        <v>0</v>
      </c>
      <c r="J166" s="27">
        <v>24.0</v>
      </c>
      <c r="K166" s="27">
        <f t="shared" si="6"/>
        <v>0</v>
      </c>
      <c r="L166" s="27">
        <v>232.0</v>
      </c>
      <c r="M166" s="27">
        <f t="shared" si="7"/>
        <v>0</v>
      </c>
      <c r="O166" s="27">
        <f t="shared" si="8"/>
        <v>0</v>
      </c>
      <c r="Q166" s="27">
        <f t="shared" si="9"/>
        <v>0</v>
      </c>
      <c r="S166" s="27">
        <v>356.0</v>
      </c>
      <c r="T166" s="27">
        <v>1.0</v>
      </c>
      <c r="U166" s="27">
        <v>0.0</v>
      </c>
      <c r="V166" s="27">
        <v>0.0</v>
      </c>
      <c r="W166" s="27">
        <v>0.0</v>
      </c>
      <c r="X166" s="27">
        <v>1.0</v>
      </c>
      <c r="Y166" s="27">
        <v>1.0</v>
      </c>
      <c r="Z166" s="27">
        <v>0.0</v>
      </c>
      <c r="AA166" s="27">
        <v>0.0</v>
      </c>
      <c r="AC166" s="27">
        <v>356.0</v>
      </c>
      <c r="AD166" s="27">
        <f t="shared" ref="AD166:AK166" si="173">T166/$S$1</f>
        <v>0.004166666667</v>
      </c>
      <c r="AE166" s="27">
        <f t="shared" si="173"/>
        <v>0</v>
      </c>
      <c r="AF166" s="27">
        <f t="shared" si="173"/>
        <v>0</v>
      </c>
      <c r="AG166" s="27">
        <f t="shared" si="173"/>
        <v>0</v>
      </c>
      <c r="AH166" s="27">
        <f t="shared" si="173"/>
        <v>0.004166666667</v>
      </c>
      <c r="AI166" s="27">
        <f t="shared" si="173"/>
        <v>0.004166666667</v>
      </c>
      <c r="AJ166" s="27">
        <f t="shared" si="173"/>
        <v>0</v>
      </c>
      <c r="AK166" s="27">
        <f t="shared" si="173"/>
        <v>0</v>
      </c>
    </row>
    <row r="167" ht="15.75" customHeight="1">
      <c r="A167" s="27">
        <v>66.0</v>
      </c>
      <c r="B167" s="27"/>
      <c r="C167" s="27">
        <f t="shared" si="2"/>
        <v>0</v>
      </c>
      <c r="D167" s="27">
        <v>74.0</v>
      </c>
      <c r="E167" s="27">
        <f t="shared" si="3"/>
        <v>0</v>
      </c>
      <c r="G167" s="27">
        <f t="shared" si="4"/>
        <v>0</v>
      </c>
      <c r="I167" s="27">
        <f t="shared" si="5"/>
        <v>0</v>
      </c>
      <c r="J167" s="27">
        <v>12.0</v>
      </c>
      <c r="K167" s="27">
        <f t="shared" si="6"/>
        <v>0</v>
      </c>
      <c r="L167" s="27">
        <v>233.0</v>
      </c>
      <c r="M167" s="27">
        <f t="shared" si="7"/>
        <v>0</v>
      </c>
      <c r="O167" s="27">
        <f t="shared" si="8"/>
        <v>0</v>
      </c>
      <c r="Q167" s="27">
        <f t="shared" si="9"/>
        <v>0</v>
      </c>
      <c r="S167" s="27">
        <v>358.0</v>
      </c>
      <c r="T167" s="27">
        <v>1.0</v>
      </c>
      <c r="U167" s="27">
        <v>1.0</v>
      </c>
      <c r="V167" s="27">
        <v>1.0</v>
      </c>
      <c r="W167" s="27">
        <v>0.0</v>
      </c>
      <c r="X167" s="27">
        <v>1.0</v>
      </c>
      <c r="Y167" s="27">
        <v>1.0</v>
      </c>
      <c r="Z167" s="27">
        <v>0.0</v>
      </c>
      <c r="AA167" s="27">
        <v>0.0</v>
      </c>
      <c r="AC167" s="27">
        <v>358.0</v>
      </c>
      <c r="AD167" s="27">
        <f t="shared" ref="AD167:AK167" si="174">T167/$S$1</f>
        <v>0.004166666667</v>
      </c>
      <c r="AE167" s="27">
        <f t="shared" si="174"/>
        <v>0.004166666667</v>
      </c>
      <c r="AF167" s="27">
        <f t="shared" si="174"/>
        <v>0.004166666667</v>
      </c>
      <c r="AG167" s="27">
        <f t="shared" si="174"/>
        <v>0</v>
      </c>
      <c r="AH167" s="27">
        <f t="shared" si="174"/>
        <v>0.004166666667</v>
      </c>
      <c r="AI167" s="27">
        <f t="shared" si="174"/>
        <v>0.004166666667</v>
      </c>
      <c r="AJ167" s="27">
        <f t="shared" si="174"/>
        <v>0</v>
      </c>
      <c r="AK167" s="27">
        <f t="shared" si="174"/>
        <v>0</v>
      </c>
    </row>
    <row r="168" ht="15.75" customHeight="1">
      <c r="A168" s="27">
        <v>24.0</v>
      </c>
      <c r="B168" s="27"/>
      <c r="C168" s="27">
        <f t="shared" si="2"/>
        <v>0</v>
      </c>
      <c r="D168" s="27">
        <v>264.0</v>
      </c>
      <c r="E168" s="27">
        <f t="shared" si="3"/>
        <v>0</v>
      </c>
      <c r="G168" s="27">
        <f t="shared" si="4"/>
        <v>0</v>
      </c>
      <c r="I168" s="27">
        <f t="shared" si="5"/>
        <v>0</v>
      </c>
      <c r="J168" s="27">
        <v>319.0</v>
      </c>
      <c r="K168" s="27">
        <f t="shared" si="6"/>
        <v>0</v>
      </c>
      <c r="L168" s="27">
        <v>148.0</v>
      </c>
      <c r="M168" s="27">
        <f t="shared" si="7"/>
        <v>0</v>
      </c>
      <c r="O168" s="27">
        <f t="shared" si="8"/>
        <v>0</v>
      </c>
      <c r="Q168" s="27">
        <f t="shared" si="9"/>
        <v>0</v>
      </c>
      <c r="S168" s="27">
        <v>362.0</v>
      </c>
      <c r="T168" s="27">
        <v>1.0</v>
      </c>
      <c r="U168" s="27">
        <v>1.0</v>
      </c>
      <c r="V168" s="27">
        <v>1.0</v>
      </c>
      <c r="W168" s="27">
        <v>0.0</v>
      </c>
      <c r="X168" s="27">
        <v>1.0</v>
      </c>
      <c r="Y168" s="27">
        <v>0.0</v>
      </c>
      <c r="Z168" s="27">
        <v>0.0</v>
      </c>
      <c r="AA168" s="27">
        <v>1.0</v>
      </c>
      <c r="AC168" s="27">
        <v>362.0</v>
      </c>
      <c r="AD168" s="27">
        <f t="shared" ref="AD168:AK168" si="175">T168/$S$1</f>
        <v>0.004166666667</v>
      </c>
      <c r="AE168" s="27">
        <f t="shared" si="175"/>
        <v>0.004166666667</v>
      </c>
      <c r="AF168" s="27">
        <f t="shared" si="175"/>
        <v>0.004166666667</v>
      </c>
      <c r="AG168" s="27">
        <f t="shared" si="175"/>
        <v>0</v>
      </c>
      <c r="AH168" s="27">
        <f t="shared" si="175"/>
        <v>0.004166666667</v>
      </c>
      <c r="AI168" s="27">
        <f t="shared" si="175"/>
        <v>0</v>
      </c>
      <c r="AJ168" s="27">
        <f t="shared" si="175"/>
        <v>0</v>
      </c>
      <c r="AK168" s="27">
        <f t="shared" si="175"/>
        <v>0.004166666667</v>
      </c>
    </row>
    <row r="169" ht="15.75" customHeight="1">
      <c r="A169" s="27">
        <v>57.0</v>
      </c>
      <c r="B169" s="27"/>
      <c r="C169" s="27">
        <f t="shared" si="2"/>
        <v>0</v>
      </c>
      <c r="D169" s="27">
        <v>346.0</v>
      </c>
      <c r="E169" s="27">
        <f t="shared" si="3"/>
        <v>0</v>
      </c>
      <c r="G169" s="27">
        <f t="shared" si="4"/>
        <v>0</v>
      </c>
      <c r="I169" s="27">
        <f t="shared" si="5"/>
        <v>0</v>
      </c>
      <c r="J169" s="27">
        <v>323.0</v>
      </c>
      <c r="K169" s="27">
        <f t="shared" si="6"/>
        <v>0</v>
      </c>
      <c r="L169" s="27">
        <v>66.0</v>
      </c>
      <c r="M169" s="27">
        <f t="shared" si="7"/>
        <v>0</v>
      </c>
      <c r="O169" s="27">
        <f t="shared" si="8"/>
        <v>0</v>
      </c>
      <c r="Q169" s="27">
        <f t="shared" si="9"/>
        <v>0</v>
      </c>
      <c r="S169" s="27">
        <v>363.0</v>
      </c>
      <c r="T169" s="27">
        <v>1.0</v>
      </c>
      <c r="U169" s="27">
        <v>0.0</v>
      </c>
      <c r="V169" s="27">
        <v>0.0</v>
      </c>
      <c r="W169" s="27">
        <v>0.0</v>
      </c>
      <c r="X169" s="27">
        <v>1.0</v>
      </c>
      <c r="Y169" s="27">
        <v>1.0</v>
      </c>
      <c r="Z169" s="27">
        <v>0.0</v>
      </c>
      <c r="AA169" s="27">
        <v>1.0</v>
      </c>
      <c r="AC169" s="27">
        <v>363.0</v>
      </c>
      <c r="AD169" s="27">
        <f t="shared" ref="AD169:AK169" si="176">T169/$S$1</f>
        <v>0.004166666667</v>
      </c>
      <c r="AE169" s="27">
        <f t="shared" si="176"/>
        <v>0</v>
      </c>
      <c r="AF169" s="27">
        <f t="shared" si="176"/>
        <v>0</v>
      </c>
      <c r="AG169" s="27">
        <f t="shared" si="176"/>
        <v>0</v>
      </c>
      <c r="AH169" s="27">
        <f t="shared" si="176"/>
        <v>0.004166666667</v>
      </c>
      <c r="AI169" s="27">
        <f t="shared" si="176"/>
        <v>0.004166666667</v>
      </c>
      <c r="AJ169" s="27">
        <f t="shared" si="176"/>
        <v>0</v>
      </c>
      <c r="AK169" s="27">
        <f t="shared" si="176"/>
        <v>0.004166666667</v>
      </c>
    </row>
    <row r="170" ht="15.75" customHeight="1">
      <c r="A170" s="27">
        <v>74.0</v>
      </c>
      <c r="B170" s="27"/>
      <c r="C170" s="27">
        <f t="shared" si="2"/>
        <v>0</v>
      </c>
      <c r="D170" s="27">
        <v>120.0</v>
      </c>
      <c r="E170" s="27">
        <f t="shared" si="3"/>
        <v>0</v>
      </c>
      <c r="G170" s="27">
        <f t="shared" si="4"/>
        <v>0</v>
      </c>
      <c r="I170" s="27">
        <f t="shared" si="5"/>
        <v>0</v>
      </c>
      <c r="J170" s="27">
        <v>221.0</v>
      </c>
      <c r="K170" s="27">
        <f t="shared" si="6"/>
        <v>0</v>
      </c>
      <c r="L170" s="27">
        <v>66.0</v>
      </c>
      <c r="M170" s="27">
        <f t="shared" si="7"/>
        <v>0</v>
      </c>
      <c r="O170" s="27">
        <f t="shared" si="8"/>
        <v>0</v>
      </c>
      <c r="Q170" s="27">
        <f t="shared" si="9"/>
        <v>0</v>
      </c>
      <c r="S170" s="27">
        <v>366.0</v>
      </c>
      <c r="T170" s="27">
        <v>1.0</v>
      </c>
      <c r="U170" s="27">
        <v>1.0</v>
      </c>
      <c r="V170" s="27">
        <v>1.0</v>
      </c>
      <c r="W170" s="27">
        <v>0.0</v>
      </c>
      <c r="X170" s="27">
        <v>1.0</v>
      </c>
      <c r="Y170" s="27">
        <v>0.0</v>
      </c>
      <c r="Z170" s="27">
        <v>0.0</v>
      </c>
      <c r="AA170" s="27">
        <v>0.0</v>
      </c>
      <c r="AC170" s="27">
        <v>366.0</v>
      </c>
      <c r="AD170" s="27">
        <f t="shared" ref="AD170:AK170" si="177">T170/$S$1</f>
        <v>0.004166666667</v>
      </c>
      <c r="AE170" s="27">
        <f t="shared" si="177"/>
        <v>0.004166666667</v>
      </c>
      <c r="AF170" s="27">
        <f t="shared" si="177"/>
        <v>0.004166666667</v>
      </c>
      <c r="AG170" s="27">
        <f t="shared" si="177"/>
        <v>0</v>
      </c>
      <c r="AH170" s="27">
        <f t="shared" si="177"/>
        <v>0.004166666667</v>
      </c>
      <c r="AI170" s="27">
        <f t="shared" si="177"/>
        <v>0</v>
      </c>
      <c r="AJ170" s="27">
        <f t="shared" si="177"/>
        <v>0</v>
      </c>
      <c r="AK170" s="27">
        <f t="shared" si="177"/>
        <v>0</v>
      </c>
    </row>
    <row r="171" ht="15.75" customHeight="1">
      <c r="A171" s="27">
        <v>116.0</v>
      </c>
      <c r="B171" s="27"/>
      <c r="C171" s="27">
        <f t="shared" si="2"/>
        <v>0</v>
      </c>
      <c r="D171" s="27">
        <v>352.0</v>
      </c>
      <c r="E171" s="27">
        <f t="shared" si="3"/>
        <v>0</v>
      </c>
      <c r="G171" s="27">
        <f t="shared" si="4"/>
        <v>0</v>
      </c>
      <c r="I171" s="27">
        <f t="shared" si="5"/>
        <v>0</v>
      </c>
      <c r="J171" s="27">
        <v>325.0</v>
      </c>
      <c r="K171" s="27">
        <f t="shared" si="6"/>
        <v>0</v>
      </c>
      <c r="L171" s="27">
        <v>58.0</v>
      </c>
      <c r="M171" s="27">
        <f t="shared" si="7"/>
        <v>0</v>
      </c>
      <c r="O171" s="27">
        <f t="shared" si="8"/>
        <v>0</v>
      </c>
      <c r="Q171" s="27">
        <f t="shared" si="9"/>
        <v>0</v>
      </c>
      <c r="S171" s="27">
        <v>368.0</v>
      </c>
      <c r="T171" s="27">
        <v>1.0</v>
      </c>
      <c r="U171" s="27">
        <v>0.0</v>
      </c>
      <c r="V171" s="27">
        <v>1.0</v>
      </c>
      <c r="W171" s="27">
        <v>0.0</v>
      </c>
      <c r="X171" s="27">
        <v>1.0</v>
      </c>
      <c r="Y171" s="27">
        <v>0.0</v>
      </c>
      <c r="Z171" s="27">
        <v>0.0</v>
      </c>
      <c r="AA171" s="27">
        <v>0.0</v>
      </c>
      <c r="AC171" s="27">
        <v>368.0</v>
      </c>
      <c r="AD171" s="27">
        <f t="shared" ref="AD171:AK171" si="178">T171/$S$1</f>
        <v>0.004166666667</v>
      </c>
      <c r="AE171" s="27">
        <f t="shared" si="178"/>
        <v>0</v>
      </c>
      <c r="AF171" s="27">
        <f t="shared" si="178"/>
        <v>0.004166666667</v>
      </c>
      <c r="AG171" s="27">
        <f t="shared" si="178"/>
        <v>0</v>
      </c>
      <c r="AH171" s="27">
        <f t="shared" si="178"/>
        <v>0.004166666667</v>
      </c>
      <c r="AI171" s="27">
        <f t="shared" si="178"/>
        <v>0</v>
      </c>
      <c r="AJ171" s="27">
        <f t="shared" si="178"/>
        <v>0</v>
      </c>
      <c r="AK171" s="27">
        <f t="shared" si="178"/>
        <v>0</v>
      </c>
    </row>
    <row r="172" ht="15.75" customHeight="1">
      <c r="A172" s="27">
        <v>171.0</v>
      </c>
      <c r="B172" s="27"/>
      <c r="C172" s="27">
        <f t="shared" si="2"/>
        <v>0</v>
      </c>
      <c r="D172" s="27">
        <v>353.0</v>
      </c>
      <c r="E172" s="27">
        <f t="shared" si="3"/>
        <v>0</v>
      </c>
      <c r="G172" s="27">
        <f t="shared" si="4"/>
        <v>0</v>
      </c>
      <c r="I172" s="27">
        <f t="shared" si="5"/>
        <v>0</v>
      </c>
      <c r="J172" s="27">
        <v>327.0</v>
      </c>
      <c r="K172" s="27">
        <f t="shared" si="6"/>
        <v>0</v>
      </c>
      <c r="L172" s="27">
        <v>2.0</v>
      </c>
      <c r="M172" s="27">
        <f t="shared" si="7"/>
        <v>0</v>
      </c>
      <c r="O172" s="27">
        <f t="shared" si="8"/>
        <v>0</v>
      </c>
      <c r="Q172" s="27">
        <f t="shared" si="9"/>
        <v>0</v>
      </c>
      <c r="S172" s="27">
        <v>370.0</v>
      </c>
      <c r="T172" s="27">
        <v>1.0</v>
      </c>
      <c r="U172" s="27">
        <v>0.0</v>
      </c>
      <c r="V172" s="27">
        <v>1.0</v>
      </c>
      <c r="W172" s="27">
        <v>0.0</v>
      </c>
      <c r="X172" s="27">
        <v>0.0</v>
      </c>
      <c r="Y172" s="27">
        <v>0.0</v>
      </c>
      <c r="Z172" s="27">
        <v>0.0</v>
      </c>
      <c r="AA172" s="27">
        <v>0.0</v>
      </c>
      <c r="AC172" s="27">
        <v>370.0</v>
      </c>
      <c r="AD172" s="27">
        <f t="shared" ref="AD172:AK172" si="179">T172/$S$1</f>
        <v>0.004166666667</v>
      </c>
      <c r="AE172" s="27">
        <f t="shared" si="179"/>
        <v>0</v>
      </c>
      <c r="AF172" s="27">
        <f t="shared" si="179"/>
        <v>0.004166666667</v>
      </c>
      <c r="AG172" s="27">
        <f t="shared" si="179"/>
        <v>0</v>
      </c>
      <c r="AH172" s="27">
        <f t="shared" si="179"/>
        <v>0</v>
      </c>
      <c r="AI172" s="27">
        <f t="shared" si="179"/>
        <v>0</v>
      </c>
      <c r="AJ172" s="27">
        <f t="shared" si="179"/>
        <v>0</v>
      </c>
      <c r="AK172" s="27">
        <f t="shared" si="179"/>
        <v>0</v>
      </c>
    </row>
    <row r="173" ht="15.75" customHeight="1">
      <c r="A173" s="27">
        <v>23.0</v>
      </c>
      <c r="B173" s="27"/>
      <c r="C173" s="27">
        <f t="shared" si="2"/>
        <v>0</v>
      </c>
      <c r="D173" s="27">
        <v>356.0</v>
      </c>
      <c r="E173" s="27">
        <f t="shared" si="3"/>
        <v>0</v>
      </c>
      <c r="G173" s="27">
        <f t="shared" si="4"/>
        <v>0</v>
      </c>
      <c r="I173" s="27">
        <f t="shared" si="5"/>
        <v>0</v>
      </c>
      <c r="J173" s="27">
        <v>328.0</v>
      </c>
      <c r="K173" s="27">
        <f t="shared" si="6"/>
        <v>0</v>
      </c>
      <c r="L173" s="27">
        <v>244.0</v>
      </c>
      <c r="M173" s="27">
        <f t="shared" si="7"/>
        <v>0</v>
      </c>
      <c r="O173" s="27">
        <f t="shared" si="8"/>
        <v>0</v>
      </c>
      <c r="Q173" s="27">
        <f t="shared" si="9"/>
        <v>0</v>
      </c>
      <c r="S173" s="27">
        <v>371.0</v>
      </c>
      <c r="T173" s="27">
        <v>1.0</v>
      </c>
      <c r="U173" s="27">
        <v>0.0</v>
      </c>
      <c r="V173" s="27">
        <v>0.0</v>
      </c>
      <c r="W173" s="27">
        <v>0.0</v>
      </c>
      <c r="X173" s="27">
        <v>1.0</v>
      </c>
      <c r="Y173" s="27">
        <v>1.0</v>
      </c>
      <c r="Z173" s="27">
        <v>0.0</v>
      </c>
      <c r="AA173" s="27">
        <v>0.0</v>
      </c>
      <c r="AC173" s="27">
        <v>371.0</v>
      </c>
      <c r="AD173" s="27">
        <f t="shared" ref="AD173:AK173" si="180">T173/$S$1</f>
        <v>0.004166666667</v>
      </c>
      <c r="AE173" s="27">
        <f t="shared" si="180"/>
        <v>0</v>
      </c>
      <c r="AF173" s="27">
        <f t="shared" si="180"/>
        <v>0</v>
      </c>
      <c r="AG173" s="27">
        <f t="shared" si="180"/>
        <v>0</v>
      </c>
      <c r="AH173" s="27">
        <f t="shared" si="180"/>
        <v>0.004166666667</v>
      </c>
      <c r="AI173" s="27">
        <f t="shared" si="180"/>
        <v>0.004166666667</v>
      </c>
      <c r="AJ173" s="27">
        <f t="shared" si="180"/>
        <v>0</v>
      </c>
      <c r="AK173" s="27">
        <f t="shared" si="180"/>
        <v>0</v>
      </c>
    </row>
    <row r="174" ht="15.75" customHeight="1">
      <c r="A174" s="27">
        <v>74.0</v>
      </c>
      <c r="B174" s="27"/>
      <c r="C174" s="27">
        <f t="shared" si="2"/>
        <v>0</v>
      </c>
      <c r="D174" s="27">
        <v>358.0</v>
      </c>
      <c r="E174" s="27">
        <f t="shared" si="3"/>
        <v>0</v>
      </c>
      <c r="G174" s="27">
        <f t="shared" si="4"/>
        <v>0</v>
      </c>
      <c r="I174" s="27">
        <f t="shared" si="5"/>
        <v>0</v>
      </c>
      <c r="J174" s="27">
        <v>218.0</v>
      </c>
      <c r="K174" s="27">
        <f t="shared" si="6"/>
        <v>0</v>
      </c>
      <c r="L174" s="27">
        <v>250.0</v>
      </c>
      <c r="M174" s="27">
        <f t="shared" si="7"/>
        <v>0</v>
      </c>
      <c r="O174" s="27">
        <f t="shared" si="8"/>
        <v>0</v>
      </c>
      <c r="Q174" s="27">
        <f t="shared" si="9"/>
        <v>0</v>
      </c>
      <c r="S174" s="27">
        <v>372.0</v>
      </c>
      <c r="T174" s="27">
        <v>1.0</v>
      </c>
      <c r="U174" s="27">
        <v>0.0</v>
      </c>
      <c r="V174" s="27">
        <v>1.0</v>
      </c>
      <c r="W174" s="27">
        <v>0.0</v>
      </c>
      <c r="X174" s="27">
        <v>0.0</v>
      </c>
      <c r="Y174" s="27">
        <v>0.0</v>
      </c>
      <c r="Z174" s="27">
        <v>0.0</v>
      </c>
      <c r="AA174" s="27">
        <v>0.0</v>
      </c>
      <c r="AC174" s="27">
        <v>372.0</v>
      </c>
      <c r="AD174" s="27">
        <f t="shared" ref="AD174:AK174" si="181">T174/$S$1</f>
        <v>0.004166666667</v>
      </c>
      <c r="AE174" s="27">
        <f t="shared" si="181"/>
        <v>0</v>
      </c>
      <c r="AF174" s="27">
        <f t="shared" si="181"/>
        <v>0.004166666667</v>
      </c>
      <c r="AG174" s="27">
        <f t="shared" si="181"/>
        <v>0</v>
      </c>
      <c r="AH174" s="27">
        <f t="shared" si="181"/>
        <v>0</v>
      </c>
      <c r="AI174" s="27">
        <f t="shared" si="181"/>
        <v>0</v>
      </c>
      <c r="AJ174" s="27">
        <f t="shared" si="181"/>
        <v>0</v>
      </c>
      <c r="AK174" s="27">
        <f t="shared" si="181"/>
        <v>0</v>
      </c>
    </row>
    <row r="175" ht="15.75" customHeight="1">
      <c r="A175" s="27">
        <v>174.0</v>
      </c>
      <c r="B175" s="27"/>
      <c r="C175" s="27">
        <f t="shared" si="2"/>
        <v>0</v>
      </c>
      <c r="D175" s="27">
        <v>118.0</v>
      </c>
      <c r="E175" s="27">
        <f t="shared" si="3"/>
        <v>0</v>
      </c>
      <c r="G175" s="27">
        <f t="shared" si="4"/>
        <v>0</v>
      </c>
      <c r="I175" s="27">
        <f t="shared" si="5"/>
        <v>0</v>
      </c>
      <c r="J175" s="27">
        <v>332.0</v>
      </c>
      <c r="K175" s="27">
        <f t="shared" si="6"/>
        <v>0</v>
      </c>
      <c r="L175" s="27">
        <v>66.0</v>
      </c>
      <c r="M175" s="27">
        <f t="shared" si="7"/>
        <v>0</v>
      </c>
      <c r="O175" s="27">
        <f t="shared" si="8"/>
        <v>0</v>
      </c>
      <c r="Q175" s="27">
        <f t="shared" si="9"/>
        <v>0</v>
      </c>
      <c r="S175" s="27">
        <v>374.0</v>
      </c>
      <c r="T175" s="27">
        <v>2.0</v>
      </c>
      <c r="U175" s="27">
        <v>0.0</v>
      </c>
      <c r="V175" s="27">
        <v>2.0</v>
      </c>
      <c r="W175" s="27">
        <v>0.0</v>
      </c>
      <c r="X175" s="27">
        <v>1.0</v>
      </c>
      <c r="Y175" s="27">
        <v>0.0</v>
      </c>
      <c r="Z175" s="27">
        <v>0.0</v>
      </c>
      <c r="AA175" s="27">
        <v>0.0</v>
      </c>
      <c r="AC175" s="27">
        <v>374.0</v>
      </c>
      <c r="AD175" s="27">
        <f t="shared" ref="AD175:AK175" si="182">T175/$S$1</f>
        <v>0.008333333333</v>
      </c>
      <c r="AE175" s="27">
        <f t="shared" si="182"/>
        <v>0</v>
      </c>
      <c r="AF175" s="27">
        <f t="shared" si="182"/>
        <v>0.008333333333</v>
      </c>
      <c r="AG175" s="27">
        <f t="shared" si="182"/>
        <v>0</v>
      </c>
      <c r="AH175" s="27">
        <f t="shared" si="182"/>
        <v>0.004166666667</v>
      </c>
      <c r="AI175" s="27">
        <f t="shared" si="182"/>
        <v>0</v>
      </c>
      <c r="AJ175" s="27">
        <f t="shared" si="182"/>
        <v>0</v>
      </c>
      <c r="AK175" s="27">
        <f t="shared" si="182"/>
        <v>0</v>
      </c>
    </row>
    <row r="176" ht="15.75" customHeight="1">
      <c r="A176" s="27">
        <v>23.0</v>
      </c>
      <c r="B176" s="27"/>
      <c r="C176" s="27">
        <f t="shared" si="2"/>
        <v>0</v>
      </c>
      <c r="D176" s="27">
        <v>363.0</v>
      </c>
      <c r="E176" s="27">
        <f t="shared" si="3"/>
        <v>0</v>
      </c>
      <c r="G176" s="27">
        <f t="shared" si="4"/>
        <v>0</v>
      </c>
      <c r="I176" s="27">
        <f t="shared" si="5"/>
        <v>0</v>
      </c>
      <c r="J176" s="27">
        <v>334.0</v>
      </c>
      <c r="K176" s="27">
        <f t="shared" si="6"/>
        <v>0</v>
      </c>
      <c r="L176" s="27">
        <v>252.0</v>
      </c>
      <c r="M176" s="27">
        <f t="shared" si="7"/>
        <v>0</v>
      </c>
      <c r="O176" s="27">
        <f t="shared" si="8"/>
        <v>0</v>
      </c>
      <c r="Q176" s="27">
        <f t="shared" si="9"/>
        <v>0</v>
      </c>
      <c r="S176" s="27">
        <v>378.0</v>
      </c>
      <c r="T176" s="27">
        <v>2.0</v>
      </c>
      <c r="U176" s="27">
        <v>0.0</v>
      </c>
      <c r="V176" s="27">
        <v>1.0</v>
      </c>
      <c r="W176" s="27">
        <v>0.0</v>
      </c>
      <c r="X176" s="27">
        <v>1.0</v>
      </c>
      <c r="Y176" s="27">
        <v>0.0</v>
      </c>
      <c r="Z176" s="27">
        <v>0.0</v>
      </c>
      <c r="AA176" s="27">
        <v>0.0</v>
      </c>
      <c r="AC176" s="27">
        <v>378.0</v>
      </c>
      <c r="AD176" s="27">
        <f t="shared" ref="AD176:AK176" si="183">T176/$S$1</f>
        <v>0.008333333333</v>
      </c>
      <c r="AE176" s="27">
        <f t="shared" si="183"/>
        <v>0</v>
      </c>
      <c r="AF176" s="27">
        <f t="shared" si="183"/>
        <v>0.004166666667</v>
      </c>
      <c r="AG176" s="27">
        <f t="shared" si="183"/>
        <v>0</v>
      </c>
      <c r="AH176" s="27">
        <f t="shared" si="183"/>
        <v>0.004166666667</v>
      </c>
      <c r="AI176" s="27">
        <f t="shared" si="183"/>
        <v>0</v>
      </c>
      <c r="AJ176" s="27">
        <f t="shared" si="183"/>
        <v>0</v>
      </c>
      <c r="AK176" s="27">
        <f t="shared" si="183"/>
        <v>0</v>
      </c>
    </row>
    <row r="177" ht="15.75" customHeight="1">
      <c r="A177" s="27">
        <v>153.0</v>
      </c>
      <c r="B177" s="27"/>
      <c r="C177" s="27">
        <f t="shared" si="2"/>
        <v>0</v>
      </c>
      <c r="D177" s="27">
        <v>340.0</v>
      </c>
      <c r="E177" s="27">
        <f t="shared" si="3"/>
        <v>0</v>
      </c>
      <c r="G177" s="27">
        <f t="shared" si="4"/>
        <v>0</v>
      </c>
      <c r="I177" s="27">
        <f t="shared" si="5"/>
        <v>0</v>
      </c>
      <c r="J177" s="27">
        <v>330.0</v>
      </c>
      <c r="K177" s="27">
        <f t="shared" si="6"/>
        <v>0</v>
      </c>
      <c r="L177" s="27">
        <v>58.0</v>
      </c>
      <c r="M177" s="27">
        <f t="shared" si="7"/>
        <v>0</v>
      </c>
      <c r="O177" s="27">
        <f t="shared" si="8"/>
        <v>0</v>
      </c>
      <c r="Q177" s="27">
        <f t="shared" si="9"/>
        <v>0</v>
      </c>
      <c r="S177" s="27">
        <v>380.0</v>
      </c>
      <c r="T177" s="27">
        <v>1.0</v>
      </c>
      <c r="U177" s="27">
        <v>0.0</v>
      </c>
      <c r="V177" s="27">
        <v>0.0</v>
      </c>
      <c r="W177" s="27">
        <v>0.0</v>
      </c>
      <c r="X177" s="27">
        <v>0.0</v>
      </c>
      <c r="Y177" s="27">
        <v>1.0</v>
      </c>
      <c r="Z177" s="27">
        <v>0.0</v>
      </c>
      <c r="AA177" s="27">
        <v>0.0</v>
      </c>
      <c r="AC177" s="27">
        <v>380.0</v>
      </c>
      <c r="AD177" s="27">
        <f t="shared" ref="AD177:AK177" si="184">T177/$S$1</f>
        <v>0.004166666667</v>
      </c>
      <c r="AE177" s="27">
        <f t="shared" si="184"/>
        <v>0</v>
      </c>
      <c r="AF177" s="27">
        <f t="shared" si="184"/>
        <v>0</v>
      </c>
      <c r="AG177" s="27">
        <f t="shared" si="184"/>
        <v>0</v>
      </c>
      <c r="AH177" s="27">
        <f t="shared" si="184"/>
        <v>0</v>
      </c>
      <c r="AI177" s="27">
        <f t="shared" si="184"/>
        <v>0.004166666667</v>
      </c>
      <c r="AJ177" s="27">
        <f t="shared" si="184"/>
        <v>0</v>
      </c>
      <c r="AK177" s="27">
        <f t="shared" si="184"/>
        <v>0</v>
      </c>
    </row>
    <row r="178" ht="15.75" customHeight="1">
      <c r="A178" s="27">
        <v>177.0</v>
      </c>
      <c r="B178" s="27"/>
      <c r="C178" s="27">
        <f t="shared" si="2"/>
        <v>0</v>
      </c>
      <c r="D178" s="27">
        <v>371.0</v>
      </c>
      <c r="E178" s="27">
        <f t="shared" si="3"/>
        <v>0</v>
      </c>
      <c r="G178" s="27">
        <f t="shared" si="4"/>
        <v>0</v>
      </c>
      <c r="I178" s="27">
        <f t="shared" si="5"/>
        <v>0</v>
      </c>
      <c r="J178" s="27">
        <v>339.0</v>
      </c>
      <c r="K178" s="27">
        <f t="shared" si="6"/>
        <v>0</v>
      </c>
      <c r="L178" s="27">
        <v>66.0</v>
      </c>
      <c r="M178" s="27">
        <f t="shared" si="7"/>
        <v>0</v>
      </c>
      <c r="O178" s="27">
        <f t="shared" si="8"/>
        <v>0</v>
      </c>
      <c r="Q178" s="27">
        <f t="shared" si="9"/>
        <v>0</v>
      </c>
      <c r="S178" s="27">
        <v>383.0</v>
      </c>
      <c r="T178" s="27">
        <v>5.0</v>
      </c>
      <c r="U178" s="27">
        <v>0.0</v>
      </c>
      <c r="V178" s="27">
        <v>0.0</v>
      </c>
      <c r="W178" s="27">
        <v>0.0</v>
      </c>
      <c r="X178" s="27">
        <v>1.0</v>
      </c>
      <c r="Y178" s="27">
        <v>5.0</v>
      </c>
      <c r="Z178" s="27">
        <v>0.0</v>
      </c>
      <c r="AA178" s="27">
        <v>0.0</v>
      </c>
      <c r="AC178" s="27">
        <v>383.0</v>
      </c>
      <c r="AD178" s="27">
        <f t="shared" ref="AD178:AK178" si="185">T178/$S$1</f>
        <v>0.02083333333</v>
      </c>
      <c r="AE178" s="27">
        <f t="shared" si="185"/>
        <v>0</v>
      </c>
      <c r="AF178" s="27">
        <f t="shared" si="185"/>
        <v>0</v>
      </c>
      <c r="AG178" s="27">
        <f t="shared" si="185"/>
        <v>0</v>
      </c>
      <c r="AH178" s="27">
        <f t="shared" si="185"/>
        <v>0.004166666667</v>
      </c>
      <c r="AI178" s="27">
        <f t="shared" si="185"/>
        <v>0.02083333333</v>
      </c>
      <c r="AJ178" s="27">
        <f t="shared" si="185"/>
        <v>0</v>
      </c>
      <c r="AK178" s="27">
        <f t="shared" si="185"/>
        <v>0</v>
      </c>
    </row>
    <row r="179" ht="15.75" customHeight="1">
      <c r="A179" s="27">
        <v>178.0</v>
      </c>
      <c r="B179" s="27"/>
      <c r="C179" s="27">
        <f t="shared" si="2"/>
        <v>0</v>
      </c>
      <c r="D179" s="27">
        <v>340.0</v>
      </c>
      <c r="E179" s="27">
        <f t="shared" si="3"/>
        <v>0</v>
      </c>
      <c r="G179" s="27">
        <f t="shared" si="4"/>
        <v>0</v>
      </c>
      <c r="I179" s="27">
        <f t="shared" si="5"/>
        <v>0</v>
      </c>
      <c r="J179" s="27">
        <v>145.0</v>
      </c>
      <c r="K179" s="27">
        <f t="shared" si="6"/>
        <v>0</v>
      </c>
      <c r="L179" s="27">
        <v>66.0</v>
      </c>
      <c r="M179" s="27">
        <f t="shared" si="7"/>
        <v>0</v>
      </c>
      <c r="O179" s="27">
        <f t="shared" si="8"/>
        <v>0</v>
      </c>
      <c r="Q179" s="27">
        <f t="shared" si="9"/>
        <v>0</v>
      </c>
      <c r="S179" s="27">
        <v>385.0</v>
      </c>
      <c r="T179" s="27">
        <v>5.0</v>
      </c>
      <c r="U179" s="27">
        <v>0.0</v>
      </c>
      <c r="V179" s="27">
        <v>5.0</v>
      </c>
      <c r="W179" s="27">
        <v>0.0</v>
      </c>
      <c r="X179" s="27">
        <v>1.0</v>
      </c>
      <c r="Y179" s="27">
        <v>0.0</v>
      </c>
      <c r="Z179" s="27">
        <v>0.0</v>
      </c>
      <c r="AA179" s="27">
        <v>0.0</v>
      </c>
      <c r="AC179" s="27">
        <v>385.0</v>
      </c>
      <c r="AD179" s="27">
        <f t="shared" ref="AD179:AK179" si="186">T179/$S$1</f>
        <v>0.02083333333</v>
      </c>
      <c r="AE179" s="27">
        <f t="shared" si="186"/>
        <v>0</v>
      </c>
      <c r="AF179" s="27">
        <f t="shared" si="186"/>
        <v>0.02083333333</v>
      </c>
      <c r="AG179" s="27">
        <f t="shared" si="186"/>
        <v>0</v>
      </c>
      <c r="AH179" s="27">
        <f t="shared" si="186"/>
        <v>0.004166666667</v>
      </c>
      <c r="AI179" s="27">
        <f t="shared" si="186"/>
        <v>0</v>
      </c>
      <c r="AJ179" s="27">
        <f t="shared" si="186"/>
        <v>0</v>
      </c>
      <c r="AK179" s="27">
        <f t="shared" si="186"/>
        <v>0</v>
      </c>
    </row>
    <row r="180" ht="15.75" customHeight="1">
      <c r="A180" s="27">
        <v>25.0</v>
      </c>
      <c r="B180" s="27"/>
      <c r="C180" s="27">
        <f t="shared" si="2"/>
        <v>0</v>
      </c>
      <c r="D180" s="27">
        <v>58.0</v>
      </c>
      <c r="E180" s="27">
        <f t="shared" si="3"/>
        <v>0</v>
      </c>
      <c r="G180" s="27">
        <f t="shared" si="4"/>
        <v>0</v>
      </c>
      <c r="I180" s="27">
        <f t="shared" si="5"/>
        <v>0</v>
      </c>
      <c r="J180" s="27">
        <v>345.0</v>
      </c>
      <c r="K180" s="27">
        <f t="shared" si="6"/>
        <v>0</v>
      </c>
      <c r="L180" s="27">
        <v>127.0</v>
      </c>
      <c r="M180" s="27">
        <f t="shared" si="7"/>
        <v>0</v>
      </c>
      <c r="O180" s="27">
        <f t="shared" si="8"/>
        <v>0</v>
      </c>
      <c r="Q180" s="27">
        <f t="shared" si="9"/>
        <v>0</v>
      </c>
      <c r="S180" s="27">
        <v>387.0</v>
      </c>
      <c r="T180" s="27">
        <v>1.0</v>
      </c>
      <c r="U180" s="27">
        <v>0.0</v>
      </c>
      <c r="V180" s="27">
        <v>1.0</v>
      </c>
      <c r="W180" s="27">
        <v>0.0</v>
      </c>
      <c r="X180" s="27">
        <v>0.0</v>
      </c>
      <c r="Y180" s="27">
        <v>1.0</v>
      </c>
      <c r="Z180" s="27">
        <v>0.0</v>
      </c>
      <c r="AA180" s="27">
        <v>0.0</v>
      </c>
      <c r="AC180" s="27">
        <v>387.0</v>
      </c>
      <c r="AD180" s="27">
        <f t="shared" ref="AD180:AK180" si="187">T180/$S$1</f>
        <v>0.004166666667</v>
      </c>
      <c r="AE180" s="27">
        <f t="shared" si="187"/>
        <v>0</v>
      </c>
      <c r="AF180" s="27">
        <f t="shared" si="187"/>
        <v>0.004166666667</v>
      </c>
      <c r="AG180" s="27">
        <f t="shared" si="187"/>
        <v>0</v>
      </c>
      <c r="AH180" s="27">
        <f t="shared" si="187"/>
        <v>0</v>
      </c>
      <c r="AI180" s="27">
        <f t="shared" si="187"/>
        <v>0.004166666667</v>
      </c>
      <c r="AJ180" s="27">
        <f t="shared" si="187"/>
        <v>0</v>
      </c>
      <c r="AK180" s="27">
        <f t="shared" si="187"/>
        <v>0</v>
      </c>
    </row>
    <row r="181" ht="15.75" customHeight="1">
      <c r="A181" s="27">
        <v>180.0</v>
      </c>
      <c r="B181" s="27"/>
      <c r="C181" s="27">
        <f t="shared" si="2"/>
        <v>0</v>
      </c>
      <c r="D181" s="27">
        <v>380.0</v>
      </c>
      <c r="E181" s="27">
        <f t="shared" si="3"/>
        <v>0</v>
      </c>
      <c r="G181" s="27">
        <f t="shared" si="4"/>
        <v>0</v>
      </c>
      <c r="I181" s="27">
        <f t="shared" si="5"/>
        <v>0</v>
      </c>
      <c r="J181" s="27">
        <v>347.0</v>
      </c>
      <c r="K181" s="27">
        <f t="shared" si="6"/>
        <v>0</v>
      </c>
      <c r="L181" s="27">
        <v>43.0</v>
      </c>
      <c r="M181" s="27">
        <f t="shared" si="7"/>
        <v>0</v>
      </c>
      <c r="O181" s="27">
        <f t="shared" si="8"/>
        <v>0</v>
      </c>
      <c r="Q181" s="27">
        <f t="shared" si="9"/>
        <v>0</v>
      </c>
      <c r="S181" s="27">
        <v>392.0</v>
      </c>
      <c r="T181" s="27">
        <v>1.0</v>
      </c>
      <c r="U181" s="27">
        <v>0.0</v>
      </c>
      <c r="V181" s="27">
        <v>0.0</v>
      </c>
      <c r="W181" s="27">
        <v>0.0</v>
      </c>
      <c r="X181" s="27">
        <v>1.0</v>
      </c>
      <c r="Y181" s="27">
        <v>1.0</v>
      </c>
      <c r="Z181" s="27">
        <v>0.0</v>
      </c>
      <c r="AA181" s="27">
        <v>0.0</v>
      </c>
      <c r="AC181" s="27">
        <v>392.0</v>
      </c>
      <c r="AD181" s="27">
        <f t="shared" ref="AD181:AK181" si="188">T181/$S$1</f>
        <v>0.004166666667</v>
      </c>
      <c r="AE181" s="27">
        <f t="shared" si="188"/>
        <v>0</v>
      </c>
      <c r="AF181" s="27">
        <f t="shared" si="188"/>
        <v>0</v>
      </c>
      <c r="AG181" s="27">
        <f t="shared" si="188"/>
        <v>0</v>
      </c>
      <c r="AH181" s="27">
        <f t="shared" si="188"/>
        <v>0.004166666667</v>
      </c>
      <c r="AI181" s="27">
        <f t="shared" si="188"/>
        <v>0.004166666667</v>
      </c>
      <c r="AJ181" s="27">
        <f t="shared" si="188"/>
        <v>0</v>
      </c>
      <c r="AK181" s="27">
        <f t="shared" si="188"/>
        <v>0</v>
      </c>
    </row>
    <row r="182" ht="15.75" customHeight="1">
      <c r="A182" s="27">
        <v>43.0</v>
      </c>
      <c r="B182" s="27"/>
      <c r="C182" s="27">
        <f t="shared" si="2"/>
        <v>0</v>
      </c>
      <c r="D182" s="27">
        <v>74.0</v>
      </c>
      <c r="E182" s="27">
        <f t="shared" si="3"/>
        <v>0</v>
      </c>
      <c r="G182" s="27">
        <f t="shared" si="4"/>
        <v>0</v>
      </c>
      <c r="I182" s="27">
        <f t="shared" si="5"/>
        <v>0</v>
      </c>
      <c r="J182" s="27">
        <v>348.0</v>
      </c>
      <c r="K182" s="27">
        <f t="shared" si="6"/>
        <v>0</v>
      </c>
      <c r="L182" s="27">
        <v>132.0</v>
      </c>
      <c r="M182" s="27">
        <f t="shared" si="7"/>
        <v>0</v>
      </c>
      <c r="O182" s="27">
        <f t="shared" si="8"/>
        <v>0</v>
      </c>
      <c r="Q182" s="27">
        <f t="shared" si="9"/>
        <v>0</v>
      </c>
      <c r="S182" s="27">
        <v>394.0</v>
      </c>
      <c r="T182" s="27">
        <v>1.0</v>
      </c>
      <c r="U182" s="27">
        <v>0.0</v>
      </c>
      <c r="V182" s="27">
        <v>0.0</v>
      </c>
      <c r="W182" s="27">
        <v>0.0</v>
      </c>
      <c r="X182" s="27">
        <v>0.0</v>
      </c>
      <c r="Y182" s="27">
        <v>0.0</v>
      </c>
      <c r="Z182" s="27">
        <v>0.0</v>
      </c>
      <c r="AA182" s="27">
        <v>0.0</v>
      </c>
      <c r="AC182" s="27">
        <v>394.0</v>
      </c>
      <c r="AD182" s="27">
        <f t="shared" ref="AD182:AK182" si="189">T182/$S$1</f>
        <v>0.004166666667</v>
      </c>
      <c r="AE182" s="27">
        <f t="shared" si="189"/>
        <v>0</v>
      </c>
      <c r="AF182" s="27">
        <f t="shared" si="189"/>
        <v>0</v>
      </c>
      <c r="AG182" s="27">
        <f t="shared" si="189"/>
        <v>0</v>
      </c>
      <c r="AH182" s="27">
        <f t="shared" si="189"/>
        <v>0</v>
      </c>
      <c r="AI182" s="27">
        <f t="shared" si="189"/>
        <v>0</v>
      </c>
      <c r="AJ182" s="27">
        <f t="shared" si="189"/>
        <v>0</v>
      </c>
      <c r="AK182" s="27">
        <f t="shared" si="189"/>
        <v>0</v>
      </c>
    </row>
    <row r="183" ht="15.75" customHeight="1">
      <c r="A183" s="27">
        <v>43.0</v>
      </c>
      <c r="B183" s="27"/>
      <c r="C183" s="27">
        <f t="shared" si="2"/>
        <v>0</v>
      </c>
      <c r="D183" s="27">
        <v>383.0</v>
      </c>
      <c r="E183" s="27">
        <f t="shared" si="3"/>
        <v>0</v>
      </c>
      <c r="G183" s="27">
        <f t="shared" si="4"/>
        <v>0</v>
      </c>
      <c r="I183" s="27">
        <f t="shared" si="5"/>
        <v>0</v>
      </c>
      <c r="J183" s="27">
        <v>350.0</v>
      </c>
      <c r="K183" s="27">
        <f t="shared" si="6"/>
        <v>0</v>
      </c>
      <c r="L183" s="27">
        <v>232.0</v>
      </c>
      <c r="M183" s="27">
        <f t="shared" si="7"/>
        <v>0</v>
      </c>
      <c r="O183" s="27">
        <f t="shared" si="8"/>
        <v>0</v>
      </c>
      <c r="Q183" s="27">
        <f t="shared" si="9"/>
        <v>0</v>
      </c>
      <c r="S183" s="27">
        <v>395.0</v>
      </c>
      <c r="T183" s="27">
        <v>2.0</v>
      </c>
      <c r="U183" s="27">
        <v>0.0</v>
      </c>
      <c r="V183" s="27">
        <v>0.0</v>
      </c>
      <c r="W183" s="27">
        <v>0.0</v>
      </c>
      <c r="X183" s="27">
        <v>0.0</v>
      </c>
      <c r="Y183" s="27">
        <v>0.0</v>
      </c>
      <c r="Z183" s="27">
        <v>0.0</v>
      </c>
      <c r="AA183" s="27">
        <v>0.0</v>
      </c>
      <c r="AC183" s="27">
        <v>395.0</v>
      </c>
      <c r="AD183" s="27">
        <f t="shared" ref="AD183:AK183" si="190">T183/$S$1</f>
        <v>0.008333333333</v>
      </c>
      <c r="AE183" s="27">
        <f t="shared" si="190"/>
        <v>0</v>
      </c>
      <c r="AF183" s="27">
        <f t="shared" si="190"/>
        <v>0</v>
      </c>
      <c r="AG183" s="27">
        <f t="shared" si="190"/>
        <v>0</v>
      </c>
      <c r="AH183" s="27">
        <f t="shared" si="190"/>
        <v>0</v>
      </c>
      <c r="AI183" s="27">
        <f t="shared" si="190"/>
        <v>0</v>
      </c>
      <c r="AJ183" s="27">
        <f t="shared" si="190"/>
        <v>0</v>
      </c>
      <c r="AK183" s="27">
        <f t="shared" si="190"/>
        <v>0</v>
      </c>
    </row>
    <row r="184" ht="15.75" customHeight="1">
      <c r="A184" s="27">
        <v>43.0</v>
      </c>
      <c r="B184" s="27"/>
      <c r="C184" s="27">
        <f t="shared" si="2"/>
        <v>0</v>
      </c>
      <c r="D184" s="27">
        <v>52.0</v>
      </c>
      <c r="E184" s="27">
        <f t="shared" si="3"/>
        <v>0</v>
      </c>
      <c r="G184" s="27">
        <f t="shared" si="4"/>
        <v>0</v>
      </c>
      <c r="I184" s="27">
        <f t="shared" si="5"/>
        <v>0</v>
      </c>
      <c r="J184" s="27">
        <v>250.0</v>
      </c>
      <c r="K184" s="27">
        <f t="shared" si="6"/>
        <v>0</v>
      </c>
      <c r="L184" s="27">
        <v>211.0</v>
      </c>
      <c r="M184" s="27">
        <f t="shared" si="7"/>
        <v>0</v>
      </c>
      <c r="O184" s="27">
        <f t="shared" si="8"/>
        <v>0</v>
      </c>
      <c r="Q184" s="27">
        <f t="shared" si="9"/>
        <v>0</v>
      </c>
      <c r="S184" s="27">
        <v>397.0</v>
      </c>
      <c r="T184" s="27">
        <v>2.0</v>
      </c>
      <c r="U184" s="27">
        <v>0.0</v>
      </c>
      <c r="V184" s="27">
        <v>0.0</v>
      </c>
      <c r="W184" s="27">
        <v>0.0</v>
      </c>
      <c r="X184" s="27">
        <v>2.0</v>
      </c>
      <c r="Y184" s="27">
        <v>0.0</v>
      </c>
      <c r="Z184" s="27">
        <v>0.0</v>
      </c>
      <c r="AA184" s="27">
        <v>0.0</v>
      </c>
      <c r="AC184" s="27">
        <v>397.0</v>
      </c>
      <c r="AD184" s="27">
        <f t="shared" ref="AD184:AK184" si="191">T184/$S$1</f>
        <v>0.008333333333</v>
      </c>
      <c r="AE184" s="27">
        <f t="shared" si="191"/>
        <v>0</v>
      </c>
      <c r="AF184" s="27">
        <f t="shared" si="191"/>
        <v>0</v>
      </c>
      <c r="AG184" s="27">
        <f t="shared" si="191"/>
        <v>0</v>
      </c>
      <c r="AH184" s="27">
        <f t="shared" si="191"/>
        <v>0.008333333333</v>
      </c>
      <c r="AI184" s="27">
        <f t="shared" si="191"/>
        <v>0</v>
      </c>
      <c r="AJ184" s="27">
        <f t="shared" si="191"/>
        <v>0</v>
      </c>
      <c r="AK184" s="27">
        <f t="shared" si="191"/>
        <v>0</v>
      </c>
    </row>
    <row r="185" ht="15.75" customHeight="1">
      <c r="A185" s="27">
        <v>120.0</v>
      </c>
      <c r="B185" s="27"/>
      <c r="C185" s="27">
        <f t="shared" si="2"/>
        <v>0</v>
      </c>
      <c r="D185" s="27">
        <v>387.0</v>
      </c>
      <c r="E185" s="27">
        <f t="shared" si="3"/>
        <v>0</v>
      </c>
      <c r="G185" s="27">
        <f t="shared" si="4"/>
        <v>0</v>
      </c>
      <c r="I185" s="27">
        <f t="shared" si="5"/>
        <v>0</v>
      </c>
      <c r="J185" s="27">
        <v>258.0</v>
      </c>
      <c r="K185" s="27">
        <f t="shared" si="6"/>
        <v>0</v>
      </c>
      <c r="L185" s="27">
        <v>52.0</v>
      </c>
      <c r="M185" s="27">
        <f t="shared" si="7"/>
        <v>0</v>
      </c>
      <c r="O185" s="27">
        <f t="shared" si="8"/>
        <v>0</v>
      </c>
      <c r="Q185" s="27">
        <f t="shared" si="9"/>
        <v>0</v>
      </c>
      <c r="S185" s="27">
        <v>398.0</v>
      </c>
      <c r="T185" s="27">
        <v>1.0</v>
      </c>
      <c r="U185" s="27">
        <v>0.0</v>
      </c>
      <c r="V185" s="27">
        <v>0.0</v>
      </c>
      <c r="W185" s="27">
        <v>0.0</v>
      </c>
      <c r="X185" s="27">
        <v>1.0</v>
      </c>
      <c r="Y185" s="27">
        <v>1.0</v>
      </c>
      <c r="Z185" s="27">
        <v>0.0</v>
      </c>
      <c r="AA185" s="27">
        <v>0.0</v>
      </c>
      <c r="AC185" s="27">
        <v>398.0</v>
      </c>
      <c r="AD185" s="27">
        <f t="shared" ref="AD185:AK185" si="192">T185/$S$1</f>
        <v>0.004166666667</v>
      </c>
      <c r="AE185" s="27">
        <f t="shared" si="192"/>
        <v>0</v>
      </c>
      <c r="AF185" s="27">
        <f t="shared" si="192"/>
        <v>0</v>
      </c>
      <c r="AG185" s="27">
        <f t="shared" si="192"/>
        <v>0</v>
      </c>
      <c r="AH185" s="27">
        <f t="shared" si="192"/>
        <v>0.004166666667</v>
      </c>
      <c r="AI185" s="27">
        <f t="shared" si="192"/>
        <v>0.004166666667</v>
      </c>
      <c r="AJ185" s="27">
        <f t="shared" si="192"/>
        <v>0</v>
      </c>
      <c r="AK185" s="27">
        <f t="shared" si="192"/>
        <v>0</v>
      </c>
    </row>
    <row r="186" ht="15.75" customHeight="1">
      <c r="A186" s="27">
        <v>120.0</v>
      </c>
      <c r="B186" s="27"/>
      <c r="C186" s="27">
        <f t="shared" si="2"/>
        <v>0</v>
      </c>
      <c r="D186" s="27">
        <v>264.0</v>
      </c>
      <c r="E186" s="27">
        <f t="shared" si="3"/>
        <v>0</v>
      </c>
      <c r="G186" s="27">
        <f t="shared" si="4"/>
        <v>0</v>
      </c>
      <c r="I186" s="27">
        <f t="shared" si="5"/>
        <v>0</v>
      </c>
      <c r="J186" s="27">
        <v>358.0</v>
      </c>
      <c r="K186" s="27">
        <f t="shared" si="6"/>
        <v>0</v>
      </c>
      <c r="L186" s="27">
        <v>74.0</v>
      </c>
      <c r="M186" s="27">
        <f t="shared" si="7"/>
        <v>0</v>
      </c>
      <c r="O186" s="27">
        <f t="shared" si="8"/>
        <v>0</v>
      </c>
      <c r="Q186" s="27">
        <f t="shared" si="9"/>
        <v>0</v>
      </c>
      <c r="S186" s="27">
        <v>399.0</v>
      </c>
      <c r="T186" s="27">
        <v>1.0</v>
      </c>
      <c r="U186" s="27">
        <v>0.0</v>
      </c>
      <c r="V186" s="27">
        <v>0.0</v>
      </c>
      <c r="W186" s="27">
        <v>0.0</v>
      </c>
      <c r="X186" s="27">
        <v>0.0</v>
      </c>
      <c r="Y186" s="27">
        <v>1.0</v>
      </c>
      <c r="Z186" s="27">
        <v>0.0</v>
      </c>
      <c r="AA186" s="27">
        <v>0.0</v>
      </c>
      <c r="AC186" s="27">
        <v>399.0</v>
      </c>
      <c r="AD186" s="27">
        <f t="shared" ref="AD186:AK186" si="193">T186/$S$1</f>
        <v>0.004166666667</v>
      </c>
      <c r="AE186" s="27">
        <f t="shared" si="193"/>
        <v>0</v>
      </c>
      <c r="AF186" s="27">
        <f t="shared" si="193"/>
        <v>0</v>
      </c>
      <c r="AG186" s="27">
        <f t="shared" si="193"/>
        <v>0</v>
      </c>
      <c r="AH186" s="27">
        <f t="shared" si="193"/>
        <v>0</v>
      </c>
      <c r="AI186" s="27">
        <f t="shared" si="193"/>
        <v>0.004166666667</v>
      </c>
      <c r="AJ186" s="27">
        <f t="shared" si="193"/>
        <v>0</v>
      </c>
      <c r="AK186" s="27">
        <f t="shared" si="193"/>
        <v>0</v>
      </c>
    </row>
    <row r="187" ht="15.75" customHeight="1">
      <c r="A187" s="27">
        <v>120.0</v>
      </c>
      <c r="B187" s="27"/>
      <c r="C187" s="27">
        <f t="shared" si="2"/>
        <v>0</v>
      </c>
      <c r="D187" s="27">
        <v>392.0</v>
      </c>
      <c r="E187" s="27">
        <f t="shared" si="3"/>
        <v>0</v>
      </c>
      <c r="G187" s="27">
        <f t="shared" si="4"/>
        <v>0</v>
      </c>
      <c r="I187" s="27">
        <f t="shared" si="5"/>
        <v>0</v>
      </c>
      <c r="J187" s="27">
        <v>250.0</v>
      </c>
      <c r="K187" s="27">
        <f t="shared" si="6"/>
        <v>0</v>
      </c>
      <c r="L187" s="27">
        <v>66.0</v>
      </c>
      <c r="M187" s="27">
        <f t="shared" si="7"/>
        <v>0</v>
      </c>
      <c r="O187" s="27">
        <f t="shared" si="8"/>
        <v>0</v>
      </c>
      <c r="Q187" s="27">
        <f t="shared" si="9"/>
        <v>0</v>
      </c>
      <c r="S187" s="27">
        <v>400.0</v>
      </c>
      <c r="T187" s="27">
        <v>1.0</v>
      </c>
      <c r="U187" s="27">
        <v>0.0</v>
      </c>
      <c r="V187" s="27">
        <v>1.0</v>
      </c>
      <c r="W187" s="27">
        <v>0.0</v>
      </c>
      <c r="X187" s="27">
        <v>1.0</v>
      </c>
      <c r="Y187" s="27">
        <v>0.0</v>
      </c>
      <c r="Z187" s="27">
        <v>0.0</v>
      </c>
      <c r="AA187" s="27">
        <v>0.0</v>
      </c>
      <c r="AC187" s="27">
        <v>400.0</v>
      </c>
      <c r="AD187" s="27">
        <f t="shared" ref="AD187:AK187" si="194">T187/$S$1</f>
        <v>0.004166666667</v>
      </c>
      <c r="AE187" s="27">
        <f t="shared" si="194"/>
        <v>0</v>
      </c>
      <c r="AF187" s="27">
        <f t="shared" si="194"/>
        <v>0.004166666667</v>
      </c>
      <c r="AG187" s="27">
        <f t="shared" si="194"/>
        <v>0</v>
      </c>
      <c r="AH187" s="27">
        <f t="shared" si="194"/>
        <v>0.004166666667</v>
      </c>
      <c r="AI187" s="27">
        <f t="shared" si="194"/>
        <v>0</v>
      </c>
      <c r="AJ187" s="27">
        <f t="shared" si="194"/>
        <v>0</v>
      </c>
      <c r="AK187" s="27">
        <f t="shared" si="194"/>
        <v>0</v>
      </c>
    </row>
    <row r="188" ht="15.75" customHeight="1">
      <c r="A188" s="27">
        <v>120.0</v>
      </c>
      <c r="B188" s="27"/>
      <c r="C188" s="27">
        <f t="shared" si="2"/>
        <v>0</v>
      </c>
      <c r="D188" s="27">
        <v>398.0</v>
      </c>
      <c r="E188" s="27">
        <f t="shared" si="3"/>
        <v>0</v>
      </c>
      <c r="G188" s="27">
        <f t="shared" si="4"/>
        <v>0</v>
      </c>
      <c r="I188" s="27">
        <f t="shared" si="5"/>
        <v>0</v>
      </c>
      <c r="J188" s="27">
        <v>24.0</v>
      </c>
      <c r="K188" s="27">
        <f t="shared" si="6"/>
        <v>0</v>
      </c>
      <c r="L188" s="27">
        <v>269.0</v>
      </c>
      <c r="M188" s="27">
        <f t="shared" si="7"/>
        <v>0</v>
      </c>
      <c r="O188" s="27">
        <f t="shared" si="8"/>
        <v>0</v>
      </c>
      <c r="Q188" s="27">
        <f t="shared" si="9"/>
        <v>0</v>
      </c>
      <c r="S188" s="27">
        <v>406.0</v>
      </c>
      <c r="T188" s="27">
        <v>1.0</v>
      </c>
      <c r="U188" s="27">
        <v>0.0</v>
      </c>
      <c r="V188" s="27">
        <v>1.0</v>
      </c>
      <c r="W188" s="27">
        <v>0.0</v>
      </c>
      <c r="X188" s="27">
        <v>1.0</v>
      </c>
      <c r="Y188" s="27">
        <v>0.0</v>
      </c>
      <c r="Z188" s="27">
        <v>0.0</v>
      </c>
      <c r="AA188" s="27">
        <v>0.0</v>
      </c>
      <c r="AC188" s="27">
        <v>406.0</v>
      </c>
      <c r="AD188" s="27">
        <f t="shared" ref="AD188:AK188" si="195">T188/$S$1</f>
        <v>0.004166666667</v>
      </c>
      <c r="AE188" s="27">
        <f t="shared" si="195"/>
        <v>0</v>
      </c>
      <c r="AF188" s="27">
        <f t="shared" si="195"/>
        <v>0.004166666667</v>
      </c>
      <c r="AG188" s="27">
        <f t="shared" si="195"/>
        <v>0</v>
      </c>
      <c r="AH188" s="27">
        <f t="shared" si="195"/>
        <v>0.004166666667</v>
      </c>
      <c r="AI188" s="27">
        <f t="shared" si="195"/>
        <v>0</v>
      </c>
      <c r="AJ188" s="27">
        <f t="shared" si="195"/>
        <v>0</v>
      </c>
      <c r="AK188" s="27">
        <f t="shared" si="195"/>
        <v>0</v>
      </c>
    </row>
    <row r="189" ht="15.75" customHeight="1">
      <c r="A189" s="27">
        <v>120.0</v>
      </c>
      <c r="B189" s="27"/>
      <c r="C189" s="27">
        <f t="shared" si="2"/>
        <v>0</v>
      </c>
      <c r="D189" s="27">
        <v>399.0</v>
      </c>
      <c r="E189" s="27">
        <f t="shared" si="3"/>
        <v>0</v>
      </c>
      <c r="G189" s="27">
        <f t="shared" si="4"/>
        <v>0</v>
      </c>
      <c r="I189" s="27">
        <f t="shared" si="5"/>
        <v>0</v>
      </c>
      <c r="J189" s="27">
        <v>362.0</v>
      </c>
      <c r="K189" s="27">
        <f t="shared" si="6"/>
        <v>0</v>
      </c>
      <c r="L189" s="27">
        <v>2.0</v>
      </c>
      <c r="M189" s="27">
        <f t="shared" si="7"/>
        <v>0</v>
      </c>
      <c r="O189" s="27">
        <f t="shared" si="8"/>
        <v>0</v>
      </c>
      <c r="Q189" s="27">
        <f t="shared" si="9"/>
        <v>0</v>
      </c>
      <c r="S189" s="27">
        <v>410.0</v>
      </c>
      <c r="T189" s="27">
        <v>1.0</v>
      </c>
      <c r="U189" s="27">
        <v>0.0</v>
      </c>
      <c r="V189" s="27">
        <v>0.0</v>
      </c>
      <c r="W189" s="27">
        <v>0.0</v>
      </c>
      <c r="X189" s="27">
        <v>0.0</v>
      </c>
      <c r="Y189" s="27">
        <v>0.0</v>
      </c>
      <c r="Z189" s="27">
        <v>0.0</v>
      </c>
      <c r="AA189" s="27">
        <v>0.0</v>
      </c>
      <c r="AC189" s="27">
        <v>410.0</v>
      </c>
      <c r="AD189" s="27">
        <f t="shared" ref="AD189:AK189" si="196">T189/$S$1</f>
        <v>0.004166666667</v>
      </c>
      <c r="AE189" s="27">
        <f t="shared" si="196"/>
        <v>0</v>
      </c>
      <c r="AF189" s="27">
        <f t="shared" si="196"/>
        <v>0</v>
      </c>
      <c r="AG189" s="27">
        <f t="shared" si="196"/>
        <v>0</v>
      </c>
      <c r="AH189" s="27">
        <f t="shared" si="196"/>
        <v>0</v>
      </c>
      <c r="AI189" s="27">
        <f t="shared" si="196"/>
        <v>0</v>
      </c>
      <c r="AJ189" s="27">
        <f t="shared" si="196"/>
        <v>0</v>
      </c>
      <c r="AK189" s="27">
        <f t="shared" si="196"/>
        <v>0</v>
      </c>
    </row>
    <row r="190" ht="15.75" customHeight="1">
      <c r="A190" s="27">
        <v>120.0</v>
      </c>
      <c r="B190" s="27"/>
      <c r="C190" s="27">
        <f t="shared" si="2"/>
        <v>0</v>
      </c>
      <c r="D190" s="27">
        <v>74.0</v>
      </c>
      <c r="E190" s="27">
        <f t="shared" si="3"/>
        <v>0</v>
      </c>
      <c r="G190" s="27">
        <f t="shared" si="4"/>
        <v>0</v>
      </c>
      <c r="I190" s="27">
        <f t="shared" si="5"/>
        <v>0</v>
      </c>
      <c r="J190" s="27">
        <v>366.0</v>
      </c>
      <c r="K190" s="27">
        <f t="shared" si="6"/>
        <v>0</v>
      </c>
      <c r="L190" s="27">
        <v>25.0</v>
      </c>
      <c r="M190" s="27">
        <f t="shared" si="7"/>
        <v>0</v>
      </c>
      <c r="O190" s="27">
        <f t="shared" si="8"/>
        <v>0</v>
      </c>
      <c r="Q190" s="27">
        <f t="shared" si="9"/>
        <v>0</v>
      </c>
      <c r="S190" s="27">
        <v>411.0</v>
      </c>
      <c r="T190" s="27">
        <v>2.0</v>
      </c>
      <c r="U190" s="27">
        <v>0.0</v>
      </c>
      <c r="V190" s="27">
        <v>2.0</v>
      </c>
      <c r="W190" s="27">
        <v>0.0</v>
      </c>
      <c r="X190" s="27">
        <v>1.0</v>
      </c>
      <c r="Y190" s="27">
        <v>0.0</v>
      </c>
      <c r="Z190" s="27">
        <v>0.0</v>
      </c>
      <c r="AA190" s="27">
        <v>0.0</v>
      </c>
      <c r="AC190" s="27">
        <v>411.0</v>
      </c>
      <c r="AD190" s="27">
        <f t="shared" ref="AD190:AK190" si="197">T190/$S$1</f>
        <v>0.008333333333</v>
      </c>
      <c r="AE190" s="27">
        <f t="shared" si="197"/>
        <v>0</v>
      </c>
      <c r="AF190" s="27">
        <f t="shared" si="197"/>
        <v>0.008333333333</v>
      </c>
      <c r="AG190" s="27">
        <f t="shared" si="197"/>
        <v>0</v>
      </c>
      <c r="AH190" s="27">
        <f t="shared" si="197"/>
        <v>0.004166666667</v>
      </c>
      <c r="AI190" s="27">
        <f t="shared" si="197"/>
        <v>0</v>
      </c>
      <c r="AJ190" s="27">
        <f t="shared" si="197"/>
        <v>0</v>
      </c>
      <c r="AK190" s="27">
        <f t="shared" si="197"/>
        <v>0</v>
      </c>
    </row>
    <row r="191" ht="15.75" customHeight="1">
      <c r="A191" s="27">
        <v>190.0</v>
      </c>
      <c r="B191" s="27"/>
      <c r="C191" s="27">
        <f t="shared" si="2"/>
        <v>0</v>
      </c>
      <c r="D191" s="27">
        <v>74.0</v>
      </c>
      <c r="E191" s="27">
        <f t="shared" si="3"/>
        <v>0</v>
      </c>
      <c r="G191" s="27">
        <f t="shared" si="4"/>
        <v>0</v>
      </c>
      <c r="I191" s="27">
        <f t="shared" si="5"/>
        <v>0</v>
      </c>
      <c r="J191" s="27">
        <v>368.0</v>
      </c>
      <c r="K191" s="27">
        <f t="shared" si="6"/>
        <v>0</v>
      </c>
      <c r="L191" s="27">
        <v>264.0</v>
      </c>
      <c r="M191" s="27">
        <f t="shared" si="7"/>
        <v>0</v>
      </c>
      <c r="O191" s="27">
        <f t="shared" si="8"/>
        <v>0</v>
      </c>
      <c r="Q191" s="27">
        <f t="shared" si="9"/>
        <v>0</v>
      </c>
      <c r="S191" s="27">
        <v>412.0</v>
      </c>
      <c r="T191" s="27">
        <v>1.0</v>
      </c>
      <c r="U191" s="27">
        <v>0.0</v>
      </c>
      <c r="V191" s="27">
        <v>0.0</v>
      </c>
      <c r="W191" s="27">
        <v>0.0</v>
      </c>
      <c r="X191" s="27">
        <v>1.0</v>
      </c>
      <c r="Y191" s="27">
        <v>1.0</v>
      </c>
      <c r="Z191" s="27">
        <v>0.0</v>
      </c>
      <c r="AA191" s="27">
        <v>0.0</v>
      </c>
      <c r="AC191" s="27">
        <v>412.0</v>
      </c>
      <c r="AD191" s="27">
        <f t="shared" ref="AD191:AK191" si="198">T191/$S$1</f>
        <v>0.004166666667</v>
      </c>
      <c r="AE191" s="27">
        <f t="shared" si="198"/>
        <v>0</v>
      </c>
      <c r="AF191" s="27">
        <f t="shared" si="198"/>
        <v>0</v>
      </c>
      <c r="AG191" s="27">
        <f t="shared" si="198"/>
        <v>0</v>
      </c>
      <c r="AH191" s="27">
        <f t="shared" si="198"/>
        <v>0.004166666667</v>
      </c>
      <c r="AI191" s="27">
        <f t="shared" si="198"/>
        <v>0.004166666667</v>
      </c>
      <c r="AJ191" s="27">
        <f t="shared" si="198"/>
        <v>0</v>
      </c>
      <c r="AK191" s="27">
        <f t="shared" si="198"/>
        <v>0</v>
      </c>
    </row>
    <row r="192" ht="15.75" customHeight="1">
      <c r="A192" s="27">
        <v>127.0</v>
      </c>
      <c r="B192" s="27"/>
      <c r="C192" s="27">
        <f t="shared" si="2"/>
        <v>0</v>
      </c>
      <c r="D192" s="27">
        <v>383.0</v>
      </c>
      <c r="E192" s="27">
        <f t="shared" si="3"/>
        <v>0</v>
      </c>
      <c r="G192" s="27">
        <f t="shared" si="4"/>
        <v>0</v>
      </c>
      <c r="I192" s="27">
        <f t="shared" si="5"/>
        <v>0</v>
      </c>
      <c r="J192" s="27">
        <v>345.0</v>
      </c>
      <c r="K192" s="27">
        <f t="shared" si="6"/>
        <v>0</v>
      </c>
      <c r="L192" s="27">
        <v>25.0</v>
      </c>
      <c r="M192" s="27">
        <f t="shared" si="7"/>
        <v>0</v>
      </c>
      <c r="O192" s="27">
        <f t="shared" si="8"/>
        <v>0</v>
      </c>
      <c r="Q192" s="27">
        <f t="shared" si="9"/>
        <v>0</v>
      </c>
      <c r="S192" s="27">
        <v>415.0</v>
      </c>
      <c r="T192" s="27">
        <v>1.0</v>
      </c>
      <c r="U192" s="27">
        <v>0.0</v>
      </c>
      <c r="V192" s="27">
        <v>0.0</v>
      </c>
      <c r="W192" s="27">
        <v>0.0</v>
      </c>
      <c r="X192" s="27">
        <v>1.0</v>
      </c>
      <c r="Y192" s="27">
        <v>1.0</v>
      </c>
      <c r="Z192" s="27">
        <v>0.0</v>
      </c>
      <c r="AA192" s="27">
        <v>0.0</v>
      </c>
      <c r="AC192" s="27">
        <v>415.0</v>
      </c>
      <c r="AD192" s="27">
        <f t="shared" ref="AD192:AK192" si="199">T192/$S$1</f>
        <v>0.004166666667</v>
      </c>
      <c r="AE192" s="27">
        <f t="shared" si="199"/>
        <v>0</v>
      </c>
      <c r="AF192" s="27">
        <f t="shared" si="199"/>
        <v>0</v>
      </c>
      <c r="AG192" s="27">
        <f t="shared" si="199"/>
        <v>0</v>
      </c>
      <c r="AH192" s="27">
        <f t="shared" si="199"/>
        <v>0.004166666667</v>
      </c>
      <c r="AI192" s="27">
        <f t="shared" si="199"/>
        <v>0.004166666667</v>
      </c>
      <c r="AJ192" s="27">
        <f t="shared" si="199"/>
        <v>0</v>
      </c>
      <c r="AK192" s="27">
        <f t="shared" si="199"/>
        <v>0</v>
      </c>
    </row>
    <row r="193" ht="15.75" customHeight="1">
      <c r="A193" s="27">
        <v>127.0</v>
      </c>
      <c r="B193" s="27"/>
      <c r="C193" s="27">
        <f t="shared" si="2"/>
        <v>0</v>
      </c>
      <c r="D193" s="27">
        <v>340.0</v>
      </c>
      <c r="E193" s="27">
        <f t="shared" si="3"/>
        <v>0</v>
      </c>
      <c r="G193" s="27">
        <f t="shared" si="4"/>
        <v>0</v>
      </c>
      <c r="I193" s="27">
        <f t="shared" si="5"/>
        <v>0</v>
      </c>
      <c r="J193" s="27">
        <v>370.0</v>
      </c>
      <c r="K193" s="27">
        <f t="shared" si="6"/>
        <v>0</v>
      </c>
      <c r="L193" s="27">
        <v>277.0</v>
      </c>
      <c r="M193" s="27">
        <f t="shared" si="7"/>
        <v>0</v>
      </c>
      <c r="O193" s="27">
        <f t="shared" si="8"/>
        <v>0</v>
      </c>
      <c r="Q193" s="27">
        <f t="shared" si="9"/>
        <v>0</v>
      </c>
      <c r="S193" s="27">
        <v>417.0</v>
      </c>
      <c r="T193" s="27">
        <v>1.0</v>
      </c>
      <c r="U193" s="27">
        <v>1.0</v>
      </c>
      <c r="V193" s="27">
        <v>1.0</v>
      </c>
      <c r="W193" s="27">
        <v>0.0</v>
      </c>
      <c r="X193" s="27">
        <v>1.0</v>
      </c>
      <c r="Y193" s="27">
        <v>1.0</v>
      </c>
      <c r="Z193" s="27">
        <v>0.0</v>
      </c>
      <c r="AA193" s="27">
        <v>1.0</v>
      </c>
      <c r="AC193" s="27">
        <v>417.0</v>
      </c>
      <c r="AD193" s="27">
        <f t="shared" ref="AD193:AK193" si="200">T193/$S$1</f>
        <v>0.004166666667</v>
      </c>
      <c r="AE193" s="27">
        <f t="shared" si="200"/>
        <v>0.004166666667</v>
      </c>
      <c r="AF193" s="27">
        <f t="shared" si="200"/>
        <v>0.004166666667</v>
      </c>
      <c r="AG193" s="27">
        <f t="shared" si="200"/>
        <v>0</v>
      </c>
      <c r="AH193" s="27">
        <f t="shared" si="200"/>
        <v>0.004166666667</v>
      </c>
      <c r="AI193" s="27">
        <f t="shared" si="200"/>
        <v>0.004166666667</v>
      </c>
      <c r="AJ193" s="27">
        <f t="shared" si="200"/>
        <v>0</v>
      </c>
      <c r="AK193" s="27">
        <f t="shared" si="200"/>
        <v>0.004166666667</v>
      </c>
    </row>
    <row r="194" ht="15.75" customHeight="1">
      <c r="A194" s="27">
        <v>127.0</v>
      </c>
      <c r="B194" s="27"/>
      <c r="C194" s="27">
        <f t="shared" si="2"/>
        <v>0</v>
      </c>
      <c r="D194" s="27">
        <v>340.0</v>
      </c>
      <c r="E194" s="27">
        <f t="shared" si="3"/>
        <v>0</v>
      </c>
      <c r="G194" s="27">
        <f t="shared" si="4"/>
        <v>0</v>
      </c>
      <c r="I194" s="27">
        <f t="shared" si="5"/>
        <v>0</v>
      </c>
      <c r="J194" s="27">
        <v>372.0</v>
      </c>
      <c r="K194" s="27">
        <f t="shared" si="6"/>
        <v>0</v>
      </c>
      <c r="L194" s="27">
        <v>25.0</v>
      </c>
      <c r="M194" s="27">
        <f t="shared" si="7"/>
        <v>0</v>
      </c>
      <c r="O194" s="27">
        <f t="shared" si="8"/>
        <v>0</v>
      </c>
      <c r="Q194" s="27">
        <f t="shared" si="9"/>
        <v>0</v>
      </c>
      <c r="S194" s="27">
        <v>418.0</v>
      </c>
      <c r="T194" s="27">
        <v>1.0</v>
      </c>
      <c r="U194" s="27">
        <v>0.0</v>
      </c>
      <c r="V194" s="27">
        <v>1.0</v>
      </c>
      <c r="W194" s="27">
        <v>0.0</v>
      </c>
      <c r="X194" s="27">
        <v>1.0</v>
      </c>
      <c r="Y194" s="27">
        <v>0.0</v>
      </c>
      <c r="Z194" s="27">
        <v>0.0</v>
      </c>
      <c r="AA194" s="27">
        <v>0.0</v>
      </c>
      <c r="AC194" s="27">
        <v>418.0</v>
      </c>
      <c r="AD194" s="27">
        <f t="shared" ref="AD194:AK194" si="201">T194/$S$1</f>
        <v>0.004166666667</v>
      </c>
      <c r="AE194" s="27">
        <f t="shared" si="201"/>
        <v>0</v>
      </c>
      <c r="AF194" s="27">
        <f t="shared" si="201"/>
        <v>0.004166666667</v>
      </c>
      <c r="AG194" s="27">
        <f t="shared" si="201"/>
        <v>0</v>
      </c>
      <c r="AH194" s="27">
        <f t="shared" si="201"/>
        <v>0.004166666667</v>
      </c>
      <c r="AI194" s="27">
        <f t="shared" si="201"/>
        <v>0</v>
      </c>
      <c r="AJ194" s="27">
        <f t="shared" si="201"/>
        <v>0</v>
      </c>
      <c r="AK194" s="27">
        <f t="shared" si="201"/>
        <v>0</v>
      </c>
    </row>
    <row r="195" ht="15.75" customHeight="1">
      <c r="A195" s="27">
        <v>194.0</v>
      </c>
      <c r="B195" s="27"/>
      <c r="C195" s="27">
        <f t="shared" si="2"/>
        <v>0</v>
      </c>
      <c r="D195" s="27">
        <v>412.0</v>
      </c>
      <c r="E195" s="27">
        <f t="shared" si="3"/>
        <v>0</v>
      </c>
      <c r="G195" s="27">
        <f t="shared" si="4"/>
        <v>0</v>
      </c>
      <c r="I195" s="27">
        <f t="shared" si="5"/>
        <v>0</v>
      </c>
      <c r="J195" s="27">
        <v>374.0</v>
      </c>
      <c r="K195" s="27">
        <f t="shared" si="6"/>
        <v>0</v>
      </c>
      <c r="L195" s="27">
        <v>280.0</v>
      </c>
      <c r="M195" s="27">
        <f t="shared" si="7"/>
        <v>0</v>
      </c>
      <c r="O195" s="27">
        <f t="shared" si="8"/>
        <v>0</v>
      </c>
      <c r="Q195" s="27">
        <f t="shared" si="9"/>
        <v>0</v>
      </c>
      <c r="S195" s="27">
        <v>419.0</v>
      </c>
      <c r="T195" s="27">
        <v>1.0</v>
      </c>
      <c r="U195" s="27">
        <v>0.0</v>
      </c>
      <c r="V195" s="27">
        <v>0.0</v>
      </c>
      <c r="W195" s="27">
        <v>0.0</v>
      </c>
      <c r="X195" s="27">
        <v>0.0</v>
      </c>
      <c r="Y195" s="27">
        <v>0.0</v>
      </c>
      <c r="Z195" s="27">
        <v>0.0</v>
      </c>
      <c r="AA195" s="27">
        <v>0.0</v>
      </c>
      <c r="AC195" s="27">
        <v>419.0</v>
      </c>
      <c r="AD195" s="27">
        <f t="shared" ref="AD195:AK195" si="202">T195/$S$1</f>
        <v>0.004166666667</v>
      </c>
      <c r="AE195" s="27">
        <f t="shared" si="202"/>
        <v>0</v>
      </c>
      <c r="AF195" s="27">
        <f t="shared" si="202"/>
        <v>0</v>
      </c>
      <c r="AG195" s="27">
        <f t="shared" si="202"/>
        <v>0</v>
      </c>
      <c r="AH195" s="27">
        <f t="shared" si="202"/>
        <v>0</v>
      </c>
      <c r="AI195" s="27">
        <f t="shared" si="202"/>
        <v>0</v>
      </c>
      <c r="AJ195" s="27">
        <f t="shared" si="202"/>
        <v>0</v>
      </c>
      <c r="AK195" s="27">
        <f t="shared" si="202"/>
        <v>0</v>
      </c>
    </row>
    <row r="196" ht="15.75" customHeight="1">
      <c r="A196" s="27">
        <v>195.0</v>
      </c>
      <c r="B196" s="27"/>
      <c r="C196" s="27">
        <f t="shared" si="2"/>
        <v>0</v>
      </c>
      <c r="D196" s="27">
        <v>340.0</v>
      </c>
      <c r="E196" s="27">
        <f t="shared" si="3"/>
        <v>0</v>
      </c>
      <c r="G196" s="27">
        <f t="shared" si="4"/>
        <v>0</v>
      </c>
      <c r="I196" s="27">
        <f t="shared" si="5"/>
        <v>0</v>
      </c>
      <c r="J196" s="27">
        <v>144.0</v>
      </c>
      <c r="K196" s="27">
        <f t="shared" si="6"/>
        <v>0</v>
      </c>
      <c r="L196" s="27">
        <v>281.0</v>
      </c>
      <c r="M196" s="27">
        <f t="shared" si="7"/>
        <v>0</v>
      </c>
      <c r="O196" s="27">
        <f t="shared" si="8"/>
        <v>0</v>
      </c>
      <c r="Q196" s="27">
        <f t="shared" si="9"/>
        <v>0</v>
      </c>
      <c r="S196" s="27">
        <v>420.0</v>
      </c>
      <c r="T196" s="27">
        <v>1.0</v>
      </c>
      <c r="U196" s="27">
        <v>0.0</v>
      </c>
      <c r="V196" s="27">
        <v>0.0</v>
      </c>
      <c r="W196" s="27">
        <v>0.0</v>
      </c>
      <c r="X196" s="27">
        <v>0.0</v>
      </c>
      <c r="Y196" s="27">
        <v>0.0</v>
      </c>
      <c r="Z196" s="27">
        <v>0.0</v>
      </c>
      <c r="AA196" s="27">
        <v>0.0</v>
      </c>
      <c r="AC196" s="27">
        <v>420.0</v>
      </c>
      <c r="AD196" s="27">
        <f t="shared" ref="AD196:AK196" si="203">T196/$S$1</f>
        <v>0.004166666667</v>
      </c>
      <c r="AE196" s="27">
        <f t="shared" si="203"/>
        <v>0</v>
      </c>
      <c r="AF196" s="27">
        <f t="shared" si="203"/>
        <v>0</v>
      </c>
      <c r="AG196" s="27">
        <f t="shared" si="203"/>
        <v>0</v>
      </c>
      <c r="AH196" s="27">
        <f t="shared" si="203"/>
        <v>0</v>
      </c>
      <c r="AI196" s="27">
        <f t="shared" si="203"/>
        <v>0</v>
      </c>
      <c r="AJ196" s="27">
        <f t="shared" si="203"/>
        <v>0</v>
      </c>
      <c r="AK196" s="27">
        <f t="shared" si="203"/>
        <v>0</v>
      </c>
    </row>
    <row r="197" ht="15.75" customHeight="1">
      <c r="A197" s="27">
        <v>195.0</v>
      </c>
      <c r="B197" s="27"/>
      <c r="C197" s="27">
        <f t="shared" si="2"/>
        <v>0</v>
      </c>
      <c r="D197" s="27">
        <v>415.0</v>
      </c>
      <c r="E197" s="27">
        <f t="shared" si="3"/>
        <v>0</v>
      </c>
      <c r="G197" s="27">
        <f t="shared" si="4"/>
        <v>0</v>
      </c>
      <c r="I197" s="27">
        <f t="shared" si="5"/>
        <v>0</v>
      </c>
      <c r="J197" s="27">
        <v>302.0</v>
      </c>
      <c r="K197" s="27">
        <f t="shared" si="6"/>
        <v>0</v>
      </c>
      <c r="L197" s="27">
        <v>283.0</v>
      </c>
      <c r="M197" s="27">
        <f t="shared" si="7"/>
        <v>0</v>
      </c>
      <c r="O197" s="27">
        <f t="shared" si="8"/>
        <v>0</v>
      </c>
      <c r="Q197" s="27">
        <f t="shared" si="9"/>
        <v>0</v>
      </c>
      <c r="S197" s="27">
        <v>424.0</v>
      </c>
      <c r="T197" s="27">
        <v>1.0</v>
      </c>
      <c r="U197" s="27">
        <v>1.0</v>
      </c>
      <c r="V197" s="27">
        <v>1.0</v>
      </c>
      <c r="W197" s="27">
        <v>0.0</v>
      </c>
      <c r="X197" s="27">
        <v>1.0</v>
      </c>
      <c r="Y197" s="27">
        <v>1.0</v>
      </c>
      <c r="Z197" s="27">
        <v>1.0</v>
      </c>
      <c r="AA197" s="27">
        <v>1.0</v>
      </c>
      <c r="AC197" s="27">
        <v>424.0</v>
      </c>
      <c r="AD197" s="27">
        <f t="shared" ref="AD197:AK197" si="204">T197/$S$1</f>
        <v>0.004166666667</v>
      </c>
      <c r="AE197" s="27">
        <f t="shared" si="204"/>
        <v>0.004166666667</v>
      </c>
      <c r="AF197" s="27">
        <f t="shared" si="204"/>
        <v>0.004166666667</v>
      </c>
      <c r="AG197" s="27">
        <f t="shared" si="204"/>
        <v>0</v>
      </c>
      <c r="AH197" s="27">
        <f t="shared" si="204"/>
        <v>0.004166666667</v>
      </c>
      <c r="AI197" s="27">
        <f t="shared" si="204"/>
        <v>0.004166666667</v>
      </c>
      <c r="AJ197" s="27">
        <f t="shared" si="204"/>
        <v>0.004166666667</v>
      </c>
      <c r="AK197" s="27">
        <f t="shared" si="204"/>
        <v>0.004166666667</v>
      </c>
    </row>
    <row r="198" ht="15.75" customHeight="1">
      <c r="A198" s="27">
        <v>197.0</v>
      </c>
      <c r="B198" s="27"/>
      <c r="C198" s="27">
        <f t="shared" si="2"/>
        <v>0</v>
      </c>
      <c r="D198" s="27">
        <v>25.0</v>
      </c>
      <c r="E198" s="27">
        <f t="shared" si="3"/>
        <v>0</v>
      </c>
      <c r="G198" s="27">
        <f t="shared" si="4"/>
        <v>0</v>
      </c>
      <c r="I198" s="27">
        <f t="shared" si="5"/>
        <v>0</v>
      </c>
      <c r="J198" s="27">
        <v>66.0</v>
      </c>
      <c r="K198" s="27">
        <f t="shared" si="6"/>
        <v>0</v>
      </c>
      <c r="L198" s="27">
        <v>58.0</v>
      </c>
      <c r="M198" s="27">
        <f t="shared" si="7"/>
        <v>0</v>
      </c>
      <c r="O198" s="27">
        <f t="shared" si="8"/>
        <v>0</v>
      </c>
      <c r="Q198" s="27">
        <f t="shared" si="9"/>
        <v>0</v>
      </c>
      <c r="S198" s="27">
        <v>426.0</v>
      </c>
      <c r="T198" s="27">
        <v>1.0</v>
      </c>
      <c r="U198" s="27">
        <v>0.0</v>
      </c>
      <c r="V198" s="27">
        <v>0.0</v>
      </c>
      <c r="W198" s="27">
        <v>0.0</v>
      </c>
      <c r="X198" s="27">
        <v>1.0</v>
      </c>
      <c r="Y198" s="27">
        <v>1.0</v>
      </c>
      <c r="Z198" s="27">
        <v>0.0</v>
      </c>
      <c r="AA198" s="27">
        <v>1.0</v>
      </c>
      <c r="AC198" s="27">
        <v>426.0</v>
      </c>
      <c r="AD198" s="27">
        <f t="shared" ref="AD198:AK198" si="205">T198/$S$1</f>
        <v>0.004166666667</v>
      </c>
      <c r="AE198" s="27">
        <f t="shared" si="205"/>
        <v>0</v>
      </c>
      <c r="AF198" s="27">
        <f t="shared" si="205"/>
        <v>0</v>
      </c>
      <c r="AG198" s="27">
        <f t="shared" si="205"/>
        <v>0</v>
      </c>
      <c r="AH198" s="27">
        <f t="shared" si="205"/>
        <v>0.004166666667</v>
      </c>
      <c r="AI198" s="27">
        <f t="shared" si="205"/>
        <v>0.004166666667</v>
      </c>
      <c r="AJ198" s="27">
        <f t="shared" si="205"/>
        <v>0</v>
      </c>
      <c r="AK198" s="27">
        <f t="shared" si="205"/>
        <v>0.004166666667</v>
      </c>
    </row>
    <row r="199" ht="15.75" customHeight="1">
      <c r="A199" s="27">
        <v>198.0</v>
      </c>
      <c r="B199" s="27"/>
      <c r="C199" s="27">
        <f t="shared" si="2"/>
        <v>0</v>
      </c>
      <c r="D199" s="27">
        <v>417.0</v>
      </c>
      <c r="E199" s="27">
        <f t="shared" si="3"/>
        <v>0</v>
      </c>
      <c r="G199" s="27">
        <f t="shared" si="4"/>
        <v>0</v>
      </c>
      <c r="I199" s="27">
        <f t="shared" si="5"/>
        <v>0</v>
      </c>
      <c r="J199" s="27">
        <v>221.0</v>
      </c>
      <c r="K199" s="27">
        <f t="shared" si="6"/>
        <v>0</v>
      </c>
      <c r="L199" s="27">
        <v>287.0</v>
      </c>
      <c r="M199" s="27">
        <f t="shared" si="7"/>
        <v>0</v>
      </c>
      <c r="O199" s="27">
        <f t="shared" si="8"/>
        <v>0</v>
      </c>
      <c r="Q199" s="27">
        <f t="shared" si="9"/>
        <v>0</v>
      </c>
      <c r="S199" s="27">
        <v>437.0</v>
      </c>
      <c r="T199" s="27">
        <v>1.0</v>
      </c>
      <c r="U199" s="27">
        <v>0.0</v>
      </c>
      <c r="V199" s="27">
        <v>1.0</v>
      </c>
      <c r="W199" s="27">
        <v>0.0</v>
      </c>
      <c r="X199" s="27">
        <v>0.0</v>
      </c>
      <c r="Y199" s="27">
        <v>0.0</v>
      </c>
      <c r="Z199" s="27">
        <v>0.0</v>
      </c>
      <c r="AA199" s="27">
        <v>0.0</v>
      </c>
      <c r="AC199" s="27">
        <v>437.0</v>
      </c>
      <c r="AD199" s="27">
        <f t="shared" ref="AD199:AK199" si="206">T199/$S$1</f>
        <v>0.004166666667</v>
      </c>
      <c r="AE199" s="27">
        <f t="shared" si="206"/>
        <v>0</v>
      </c>
      <c r="AF199" s="27">
        <f t="shared" si="206"/>
        <v>0.004166666667</v>
      </c>
      <c r="AG199" s="27">
        <f t="shared" si="206"/>
        <v>0</v>
      </c>
      <c r="AH199" s="27">
        <f t="shared" si="206"/>
        <v>0</v>
      </c>
      <c r="AI199" s="27">
        <f t="shared" si="206"/>
        <v>0</v>
      </c>
      <c r="AJ199" s="27">
        <f t="shared" si="206"/>
        <v>0</v>
      </c>
      <c r="AK199" s="27">
        <f t="shared" si="206"/>
        <v>0</v>
      </c>
    </row>
    <row r="200" ht="15.75" customHeight="1">
      <c r="A200" s="27">
        <v>24.0</v>
      </c>
      <c r="B200" s="27"/>
      <c r="C200" s="27">
        <f t="shared" si="2"/>
        <v>0</v>
      </c>
      <c r="D200" s="27">
        <v>264.0</v>
      </c>
      <c r="E200" s="27">
        <f t="shared" si="3"/>
        <v>0</v>
      </c>
      <c r="G200" s="27">
        <f t="shared" si="4"/>
        <v>0</v>
      </c>
      <c r="I200" s="27">
        <f t="shared" si="5"/>
        <v>0</v>
      </c>
      <c r="J200" s="27">
        <v>385.0</v>
      </c>
      <c r="K200" s="27">
        <f t="shared" si="6"/>
        <v>0</v>
      </c>
      <c r="L200" s="27">
        <v>58.0</v>
      </c>
      <c r="M200" s="27">
        <f t="shared" si="7"/>
        <v>0</v>
      </c>
      <c r="O200" s="27">
        <f t="shared" si="8"/>
        <v>0</v>
      </c>
      <c r="Q200" s="27">
        <f t="shared" si="9"/>
        <v>0</v>
      </c>
      <c r="S200" s="27">
        <v>441.0</v>
      </c>
      <c r="T200" s="27">
        <v>2.0</v>
      </c>
      <c r="U200" s="27">
        <v>1.0</v>
      </c>
      <c r="V200" s="27">
        <v>2.0</v>
      </c>
      <c r="W200" s="27">
        <v>0.0</v>
      </c>
      <c r="X200" s="27">
        <v>1.0</v>
      </c>
      <c r="Y200" s="27">
        <v>1.0</v>
      </c>
      <c r="Z200" s="27">
        <v>0.0</v>
      </c>
      <c r="AA200" s="27">
        <v>0.0</v>
      </c>
      <c r="AC200" s="27">
        <v>441.0</v>
      </c>
      <c r="AD200" s="27">
        <f t="shared" ref="AD200:AK200" si="207">T200/$S$1</f>
        <v>0.008333333333</v>
      </c>
      <c r="AE200" s="27">
        <f t="shared" si="207"/>
        <v>0.004166666667</v>
      </c>
      <c r="AF200" s="27">
        <f t="shared" si="207"/>
        <v>0.008333333333</v>
      </c>
      <c r="AG200" s="27">
        <f t="shared" si="207"/>
        <v>0</v>
      </c>
      <c r="AH200" s="27">
        <f t="shared" si="207"/>
        <v>0.004166666667</v>
      </c>
      <c r="AI200" s="27">
        <f t="shared" si="207"/>
        <v>0.004166666667</v>
      </c>
      <c r="AJ200" s="27">
        <f t="shared" si="207"/>
        <v>0</v>
      </c>
      <c r="AK200" s="27">
        <f t="shared" si="207"/>
        <v>0</v>
      </c>
    </row>
    <row r="201" ht="15.75" customHeight="1">
      <c r="A201" s="27">
        <v>200.0</v>
      </c>
      <c r="B201" s="27"/>
      <c r="C201" s="27">
        <f t="shared" si="2"/>
        <v>0</v>
      </c>
      <c r="D201" s="27">
        <v>43.0</v>
      </c>
      <c r="E201" s="27">
        <f t="shared" si="3"/>
        <v>0</v>
      </c>
      <c r="G201" s="27">
        <f t="shared" si="4"/>
        <v>0</v>
      </c>
      <c r="I201" s="27">
        <f t="shared" si="5"/>
        <v>0</v>
      </c>
      <c r="J201" s="27">
        <v>52.0</v>
      </c>
      <c r="K201" s="27">
        <f t="shared" si="6"/>
        <v>0</v>
      </c>
      <c r="L201" s="27">
        <v>252.0</v>
      </c>
      <c r="M201" s="27">
        <f t="shared" si="7"/>
        <v>0</v>
      </c>
      <c r="O201" s="27">
        <f t="shared" si="8"/>
        <v>0</v>
      </c>
      <c r="Q201" s="27">
        <f t="shared" si="9"/>
        <v>0</v>
      </c>
      <c r="S201" s="27">
        <v>444.0</v>
      </c>
      <c r="T201" s="27">
        <v>2.0</v>
      </c>
      <c r="U201" s="27">
        <v>0.0</v>
      </c>
      <c r="V201" s="27">
        <v>0.0</v>
      </c>
      <c r="W201" s="27">
        <v>0.0</v>
      </c>
      <c r="X201" s="27">
        <v>2.0</v>
      </c>
      <c r="Y201" s="27">
        <v>2.0</v>
      </c>
      <c r="Z201" s="27">
        <v>0.0</v>
      </c>
      <c r="AA201" s="27">
        <v>0.0</v>
      </c>
      <c r="AC201" s="27">
        <v>444.0</v>
      </c>
      <c r="AD201" s="27">
        <f t="shared" ref="AD201:AK201" si="208">T201/$S$1</f>
        <v>0.008333333333</v>
      </c>
      <c r="AE201" s="27">
        <f t="shared" si="208"/>
        <v>0</v>
      </c>
      <c r="AF201" s="27">
        <f t="shared" si="208"/>
        <v>0</v>
      </c>
      <c r="AG201" s="27">
        <f t="shared" si="208"/>
        <v>0</v>
      </c>
      <c r="AH201" s="27">
        <f t="shared" si="208"/>
        <v>0.008333333333</v>
      </c>
      <c r="AI201" s="27">
        <f t="shared" si="208"/>
        <v>0.008333333333</v>
      </c>
      <c r="AJ201" s="27">
        <f t="shared" si="208"/>
        <v>0</v>
      </c>
      <c r="AK201" s="27">
        <f t="shared" si="208"/>
        <v>0</v>
      </c>
    </row>
    <row r="202" ht="15.75" customHeight="1">
      <c r="A202" s="27">
        <v>201.0</v>
      </c>
      <c r="B202" s="27"/>
      <c r="C202" s="27">
        <f t="shared" si="2"/>
        <v>0</v>
      </c>
      <c r="D202" s="27">
        <v>424.0</v>
      </c>
      <c r="E202" s="27">
        <f t="shared" si="3"/>
        <v>0</v>
      </c>
      <c r="G202" s="27">
        <f t="shared" si="4"/>
        <v>0</v>
      </c>
      <c r="I202" s="27">
        <f t="shared" si="5"/>
        <v>0</v>
      </c>
      <c r="J202" s="27">
        <v>387.0</v>
      </c>
      <c r="K202" s="27">
        <f t="shared" si="6"/>
        <v>0</v>
      </c>
      <c r="L202" s="27">
        <v>25.0</v>
      </c>
      <c r="M202" s="27">
        <f t="shared" si="7"/>
        <v>0</v>
      </c>
      <c r="O202" s="27">
        <f t="shared" si="8"/>
        <v>0</v>
      </c>
      <c r="Q202" s="27">
        <f t="shared" si="9"/>
        <v>0</v>
      </c>
      <c r="S202" s="27">
        <v>445.0</v>
      </c>
      <c r="T202" s="27">
        <v>1.0</v>
      </c>
      <c r="U202" s="27">
        <v>1.0</v>
      </c>
      <c r="V202" s="27">
        <v>1.0</v>
      </c>
      <c r="W202" s="27">
        <v>0.0</v>
      </c>
      <c r="X202" s="27">
        <v>0.0</v>
      </c>
      <c r="Y202" s="27">
        <v>0.0</v>
      </c>
      <c r="Z202" s="27">
        <v>0.0</v>
      </c>
      <c r="AA202" s="27">
        <v>0.0</v>
      </c>
      <c r="AC202" s="27">
        <v>445.0</v>
      </c>
      <c r="AD202" s="27">
        <f t="shared" ref="AD202:AK202" si="209">T202/$S$1</f>
        <v>0.004166666667</v>
      </c>
      <c r="AE202" s="27">
        <f t="shared" si="209"/>
        <v>0.004166666667</v>
      </c>
      <c r="AF202" s="27">
        <f t="shared" si="209"/>
        <v>0.004166666667</v>
      </c>
      <c r="AG202" s="27">
        <f t="shared" si="209"/>
        <v>0</v>
      </c>
      <c r="AH202" s="27">
        <f t="shared" si="209"/>
        <v>0</v>
      </c>
      <c r="AI202" s="27">
        <f t="shared" si="209"/>
        <v>0</v>
      </c>
      <c r="AJ202" s="27">
        <f t="shared" si="209"/>
        <v>0</v>
      </c>
      <c r="AK202" s="27">
        <f t="shared" si="209"/>
        <v>0</v>
      </c>
    </row>
    <row r="203" ht="15.75" customHeight="1">
      <c r="A203" s="27">
        <v>74.0</v>
      </c>
      <c r="B203" s="27"/>
      <c r="C203" s="27">
        <f t="shared" si="2"/>
        <v>0</v>
      </c>
      <c r="D203" s="27">
        <v>264.0</v>
      </c>
      <c r="E203" s="27">
        <f t="shared" si="3"/>
        <v>0</v>
      </c>
      <c r="G203" s="27">
        <f t="shared" si="4"/>
        <v>0</v>
      </c>
      <c r="I203" s="27">
        <f t="shared" si="5"/>
        <v>0</v>
      </c>
      <c r="J203" s="27">
        <v>127.0</v>
      </c>
      <c r="K203" s="27">
        <f t="shared" si="6"/>
        <v>0</v>
      </c>
      <c r="L203" s="27">
        <v>291.0</v>
      </c>
      <c r="M203" s="27">
        <f t="shared" si="7"/>
        <v>0</v>
      </c>
      <c r="O203" s="27">
        <f t="shared" si="8"/>
        <v>0</v>
      </c>
      <c r="Q203" s="27">
        <f t="shared" si="9"/>
        <v>0</v>
      </c>
      <c r="S203" s="27">
        <v>450.0</v>
      </c>
      <c r="T203" s="27">
        <v>1.0</v>
      </c>
      <c r="U203" s="27">
        <v>0.0</v>
      </c>
      <c r="V203" s="27">
        <v>0.0</v>
      </c>
      <c r="W203" s="27">
        <v>0.0</v>
      </c>
      <c r="X203" s="27">
        <v>0.0</v>
      </c>
      <c r="Y203" s="27">
        <v>0.0</v>
      </c>
      <c r="Z203" s="27">
        <v>0.0</v>
      </c>
      <c r="AA203" s="27">
        <v>0.0</v>
      </c>
      <c r="AC203" s="27">
        <v>450.0</v>
      </c>
      <c r="AD203" s="27">
        <f t="shared" ref="AD203:AK203" si="210">T203/$S$1</f>
        <v>0.004166666667</v>
      </c>
      <c r="AE203" s="27">
        <f t="shared" si="210"/>
        <v>0</v>
      </c>
      <c r="AF203" s="27">
        <f t="shared" si="210"/>
        <v>0</v>
      </c>
      <c r="AG203" s="27">
        <f t="shared" si="210"/>
        <v>0</v>
      </c>
      <c r="AH203" s="27">
        <f t="shared" si="210"/>
        <v>0</v>
      </c>
      <c r="AI203" s="27">
        <f t="shared" si="210"/>
        <v>0</v>
      </c>
      <c r="AJ203" s="27">
        <f t="shared" si="210"/>
        <v>0</v>
      </c>
      <c r="AK203" s="27">
        <f t="shared" si="210"/>
        <v>0</v>
      </c>
    </row>
    <row r="204" ht="15.75" customHeight="1">
      <c r="A204" s="27">
        <v>145.0</v>
      </c>
      <c r="B204" s="27"/>
      <c r="C204" s="27">
        <f t="shared" si="2"/>
        <v>0</v>
      </c>
      <c r="D204" s="27">
        <v>426.0</v>
      </c>
      <c r="E204" s="27">
        <f t="shared" si="3"/>
        <v>0</v>
      </c>
      <c r="G204" s="27">
        <f t="shared" si="4"/>
        <v>0</v>
      </c>
      <c r="I204" s="27">
        <f t="shared" si="5"/>
        <v>0</v>
      </c>
      <c r="J204" s="27">
        <v>81.0</v>
      </c>
      <c r="K204" s="27">
        <f t="shared" si="6"/>
        <v>0</v>
      </c>
      <c r="L204" s="27">
        <v>292.0</v>
      </c>
      <c r="M204" s="27">
        <f t="shared" si="7"/>
        <v>0</v>
      </c>
      <c r="O204" s="27">
        <f t="shared" si="8"/>
        <v>0</v>
      </c>
      <c r="Q204" s="27">
        <f t="shared" si="9"/>
        <v>0</v>
      </c>
      <c r="S204" s="27">
        <v>452.0</v>
      </c>
      <c r="T204" s="27">
        <v>2.0</v>
      </c>
      <c r="U204" s="27">
        <v>0.0</v>
      </c>
      <c r="V204" s="27">
        <v>0.0</v>
      </c>
      <c r="W204" s="27">
        <v>2.0</v>
      </c>
      <c r="X204" s="27">
        <v>0.0</v>
      </c>
      <c r="Y204" s="27">
        <v>0.0</v>
      </c>
      <c r="Z204" s="27">
        <v>0.0</v>
      </c>
      <c r="AA204" s="27">
        <v>0.0</v>
      </c>
      <c r="AC204" s="27">
        <v>452.0</v>
      </c>
      <c r="AD204" s="27">
        <f t="shared" ref="AD204:AK204" si="211">T204/$S$1</f>
        <v>0.008333333333</v>
      </c>
      <c r="AE204" s="27">
        <f t="shared" si="211"/>
        <v>0</v>
      </c>
      <c r="AF204" s="27">
        <f t="shared" si="211"/>
        <v>0</v>
      </c>
      <c r="AG204" s="27">
        <f t="shared" si="211"/>
        <v>0.008333333333</v>
      </c>
      <c r="AH204" s="27">
        <f t="shared" si="211"/>
        <v>0</v>
      </c>
      <c r="AI204" s="27">
        <f t="shared" si="211"/>
        <v>0</v>
      </c>
      <c r="AJ204" s="27">
        <f t="shared" si="211"/>
        <v>0</v>
      </c>
      <c r="AK204" s="27">
        <f t="shared" si="211"/>
        <v>0</v>
      </c>
    </row>
    <row r="205" ht="15.75" customHeight="1">
      <c r="A205" s="27">
        <v>74.0</v>
      </c>
      <c r="B205" s="27"/>
      <c r="C205" s="27">
        <f t="shared" si="2"/>
        <v>0</v>
      </c>
      <c r="D205" s="27">
        <v>383.0</v>
      </c>
      <c r="E205" s="27">
        <f t="shared" si="3"/>
        <v>0</v>
      </c>
      <c r="G205" s="27">
        <f t="shared" si="4"/>
        <v>0</v>
      </c>
      <c r="I205" s="27">
        <f t="shared" si="5"/>
        <v>0</v>
      </c>
      <c r="J205" s="27">
        <v>66.0</v>
      </c>
      <c r="K205" s="27">
        <f t="shared" si="6"/>
        <v>0</v>
      </c>
      <c r="L205" s="27">
        <v>293.0</v>
      </c>
      <c r="M205" s="27">
        <f t="shared" si="7"/>
        <v>0</v>
      </c>
      <c r="O205" s="27">
        <f t="shared" si="8"/>
        <v>0</v>
      </c>
      <c r="Q205" s="27">
        <f t="shared" si="9"/>
        <v>0</v>
      </c>
      <c r="S205" s="27">
        <v>455.0</v>
      </c>
      <c r="T205" s="27">
        <v>1.0</v>
      </c>
      <c r="U205" s="27">
        <v>1.0</v>
      </c>
      <c r="V205" s="27">
        <v>1.0</v>
      </c>
      <c r="W205" s="27">
        <v>0.0</v>
      </c>
      <c r="X205" s="27">
        <v>0.0</v>
      </c>
      <c r="Y205" s="27">
        <v>1.0</v>
      </c>
      <c r="Z205" s="27">
        <v>0.0</v>
      </c>
      <c r="AA205" s="27">
        <v>0.0</v>
      </c>
      <c r="AC205" s="27">
        <v>455.0</v>
      </c>
      <c r="AD205" s="27">
        <f t="shared" ref="AD205:AK205" si="212">T205/$S$1</f>
        <v>0.004166666667</v>
      </c>
      <c r="AE205" s="27">
        <f t="shared" si="212"/>
        <v>0.004166666667</v>
      </c>
      <c r="AF205" s="27">
        <f t="shared" si="212"/>
        <v>0.004166666667</v>
      </c>
      <c r="AG205" s="27">
        <f t="shared" si="212"/>
        <v>0</v>
      </c>
      <c r="AH205" s="27">
        <f t="shared" si="212"/>
        <v>0</v>
      </c>
      <c r="AI205" s="27">
        <f t="shared" si="212"/>
        <v>0.004166666667</v>
      </c>
      <c r="AJ205" s="27">
        <f t="shared" si="212"/>
        <v>0</v>
      </c>
      <c r="AK205" s="27">
        <f t="shared" si="212"/>
        <v>0</v>
      </c>
    </row>
    <row r="206" ht="15.75" customHeight="1">
      <c r="A206" s="27">
        <v>144.0</v>
      </c>
      <c r="B206" s="27"/>
      <c r="C206" s="27">
        <f t="shared" si="2"/>
        <v>0</v>
      </c>
      <c r="D206" s="27">
        <v>51.0</v>
      </c>
      <c r="E206" s="27">
        <f t="shared" si="3"/>
        <v>0</v>
      </c>
      <c r="G206" s="27">
        <f t="shared" si="4"/>
        <v>0</v>
      </c>
      <c r="I206" s="27">
        <f t="shared" si="5"/>
        <v>0</v>
      </c>
      <c r="J206" s="27">
        <v>302.0</v>
      </c>
      <c r="K206" s="27">
        <f t="shared" si="6"/>
        <v>0</v>
      </c>
      <c r="L206" s="27">
        <v>294.0</v>
      </c>
      <c r="M206" s="27">
        <f t="shared" si="7"/>
        <v>0</v>
      </c>
      <c r="O206" s="27">
        <f t="shared" si="8"/>
        <v>0</v>
      </c>
      <c r="Q206" s="27">
        <f t="shared" si="9"/>
        <v>0</v>
      </c>
      <c r="S206" s="27">
        <v>459.0</v>
      </c>
      <c r="T206" s="27">
        <v>3.0</v>
      </c>
      <c r="U206" s="27">
        <v>2.0</v>
      </c>
      <c r="V206" s="27">
        <v>3.0</v>
      </c>
      <c r="W206" s="27">
        <v>0.0</v>
      </c>
      <c r="X206" s="27">
        <v>2.0</v>
      </c>
      <c r="Y206" s="27">
        <v>0.0</v>
      </c>
      <c r="Z206" s="27">
        <v>0.0</v>
      </c>
      <c r="AA206" s="27">
        <v>0.0</v>
      </c>
      <c r="AC206" s="27">
        <v>459.0</v>
      </c>
      <c r="AD206" s="27">
        <f t="shared" ref="AD206:AK206" si="213">T206/$S$1</f>
        <v>0.0125</v>
      </c>
      <c r="AE206" s="27">
        <f t="shared" si="213"/>
        <v>0.008333333333</v>
      </c>
      <c r="AF206" s="27">
        <f t="shared" si="213"/>
        <v>0.0125</v>
      </c>
      <c r="AG206" s="27">
        <f t="shared" si="213"/>
        <v>0</v>
      </c>
      <c r="AH206" s="27">
        <f t="shared" si="213"/>
        <v>0.008333333333</v>
      </c>
      <c r="AI206" s="27">
        <f t="shared" si="213"/>
        <v>0</v>
      </c>
      <c r="AJ206" s="27">
        <f t="shared" si="213"/>
        <v>0</v>
      </c>
      <c r="AK206" s="27">
        <f t="shared" si="213"/>
        <v>0</v>
      </c>
    </row>
    <row r="207" ht="15.75" customHeight="1">
      <c r="A207" s="27">
        <v>206.0</v>
      </c>
      <c r="B207" s="27"/>
      <c r="C207" s="27">
        <f t="shared" si="2"/>
        <v>0</v>
      </c>
      <c r="D207" s="27">
        <v>264.0</v>
      </c>
      <c r="E207" s="27">
        <f t="shared" si="3"/>
        <v>0</v>
      </c>
      <c r="G207" s="27">
        <f t="shared" si="4"/>
        <v>0</v>
      </c>
      <c r="I207" s="27">
        <f t="shared" si="5"/>
        <v>0</v>
      </c>
      <c r="J207" s="27">
        <v>400.0</v>
      </c>
      <c r="K207" s="27">
        <f t="shared" si="6"/>
        <v>0</v>
      </c>
      <c r="L207" s="27">
        <v>296.0</v>
      </c>
      <c r="M207" s="27">
        <f t="shared" si="7"/>
        <v>0</v>
      </c>
      <c r="O207" s="27">
        <f t="shared" si="8"/>
        <v>0</v>
      </c>
      <c r="Q207" s="27">
        <f t="shared" si="9"/>
        <v>0</v>
      </c>
      <c r="S207" s="27">
        <v>461.0</v>
      </c>
      <c r="T207" s="27">
        <v>1.0</v>
      </c>
      <c r="U207" s="27">
        <v>0.0</v>
      </c>
      <c r="V207" s="27">
        <v>0.0</v>
      </c>
      <c r="W207" s="27">
        <v>0.0</v>
      </c>
      <c r="X207" s="27">
        <v>0.0</v>
      </c>
      <c r="Y207" s="27">
        <v>0.0</v>
      </c>
      <c r="Z207" s="27">
        <v>0.0</v>
      </c>
      <c r="AA207" s="27">
        <v>0.0</v>
      </c>
      <c r="AC207" s="27">
        <v>461.0</v>
      </c>
      <c r="AD207" s="27">
        <f t="shared" ref="AD207:AK207" si="214">T207/$S$1</f>
        <v>0.004166666667</v>
      </c>
      <c r="AE207" s="27">
        <f t="shared" si="214"/>
        <v>0</v>
      </c>
      <c r="AF207" s="27">
        <f t="shared" si="214"/>
        <v>0</v>
      </c>
      <c r="AG207" s="27">
        <f t="shared" si="214"/>
        <v>0</v>
      </c>
      <c r="AH207" s="27">
        <f t="shared" si="214"/>
        <v>0</v>
      </c>
      <c r="AI207" s="27">
        <f t="shared" si="214"/>
        <v>0</v>
      </c>
      <c r="AJ207" s="27">
        <f t="shared" si="214"/>
        <v>0</v>
      </c>
      <c r="AK207" s="27">
        <f t="shared" si="214"/>
        <v>0</v>
      </c>
    </row>
    <row r="208" ht="15.75" customHeight="1">
      <c r="A208" s="27">
        <v>207.0</v>
      </c>
      <c r="B208" s="27"/>
      <c r="C208" s="27">
        <f t="shared" si="2"/>
        <v>0</v>
      </c>
      <c r="D208" s="27">
        <v>118.0</v>
      </c>
      <c r="E208" s="27">
        <f t="shared" si="3"/>
        <v>0</v>
      </c>
      <c r="G208" s="27">
        <f t="shared" si="4"/>
        <v>0</v>
      </c>
      <c r="I208" s="27">
        <f t="shared" si="5"/>
        <v>0</v>
      </c>
      <c r="J208" s="27">
        <v>258.0</v>
      </c>
      <c r="K208" s="27">
        <f t="shared" si="6"/>
        <v>0</v>
      </c>
      <c r="L208" s="27">
        <v>25.0</v>
      </c>
      <c r="M208" s="27">
        <f t="shared" si="7"/>
        <v>0</v>
      </c>
      <c r="O208" s="27">
        <f t="shared" si="8"/>
        <v>0</v>
      </c>
      <c r="Q208" s="27">
        <f t="shared" si="9"/>
        <v>0</v>
      </c>
      <c r="S208" s="27">
        <v>464.0</v>
      </c>
      <c r="T208" s="27">
        <v>2.0</v>
      </c>
      <c r="U208" s="27">
        <v>0.0</v>
      </c>
      <c r="V208" s="27">
        <v>0.0</v>
      </c>
      <c r="W208" s="27">
        <v>2.0</v>
      </c>
      <c r="X208" s="27">
        <v>2.0</v>
      </c>
      <c r="Y208" s="27">
        <v>0.0</v>
      </c>
      <c r="Z208" s="27">
        <v>0.0</v>
      </c>
      <c r="AA208" s="27">
        <v>0.0</v>
      </c>
      <c r="AC208" s="27">
        <v>464.0</v>
      </c>
      <c r="AD208" s="27">
        <f t="shared" ref="AD208:AK208" si="215">T208/$S$1</f>
        <v>0.008333333333</v>
      </c>
      <c r="AE208" s="27">
        <f t="shared" si="215"/>
        <v>0</v>
      </c>
      <c r="AF208" s="27">
        <f t="shared" si="215"/>
        <v>0</v>
      </c>
      <c r="AG208" s="27">
        <f t="shared" si="215"/>
        <v>0.008333333333</v>
      </c>
      <c r="AH208" s="27">
        <f t="shared" si="215"/>
        <v>0.008333333333</v>
      </c>
      <c r="AI208" s="27">
        <f t="shared" si="215"/>
        <v>0</v>
      </c>
      <c r="AJ208" s="27">
        <f t="shared" si="215"/>
        <v>0</v>
      </c>
      <c r="AK208" s="27">
        <f t="shared" si="215"/>
        <v>0</v>
      </c>
    </row>
    <row r="209" ht="15.75" customHeight="1">
      <c r="A209" s="27">
        <v>17.0</v>
      </c>
      <c r="B209" s="27"/>
      <c r="C209" s="27">
        <f t="shared" si="2"/>
        <v>0</v>
      </c>
      <c r="D209" s="27">
        <v>383.0</v>
      </c>
      <c r="E209" s="27">
        <f t="shared" si="3"/>
        <v>0</v>
      </c>
      <c r="G209" s="27">
        <f t="shared" si="4"/>
        <v>0</v>
      </c>
      <c r="I209" s="27">
        <f t="shared" si="5"/>
        <v>0</v>
      </c>
      <c r="J209" s="27">
        <v>406.0</v>
      </c>
      <c r="K209" s="27">
        <f t="shared" si="6"/>
        <v>0</v>
      </c>
      <c r="L209" s="27">
        <v>306.0</v>
      </c>
      <c r="M209" s="27">
        <f t="shared" si="7"/>
        <v>0</v>
      </c>
      <c r="O209" s="27">
        <f t="shared" si="8"/>
        <v>0</v>
      </c>
      <c r="Q209" s="27">
        <f t="shared" si="9"/>
        <v>0</v>
      </c>
      <c r="S209" s="27">
        <v>465.0</v>
      </c>
      <c r="T209" s="27">
        <v>1.0</v>
      </c>
      <c r="U209" s="27">
        <v>0.0</v>
      </c>
      <c r="V209" s="27">
        <v>0.0</v>
      </c>
      <c r="W209" s="27">
        <v>0.0</v>
      </c>
      <c r="X209" s="27">
        <v>1.0</v>
      </c>
      <c r="Y209" s="27">
        <v>1.0</v>
      </c>
      <c r="Z209" s="27">
        <v>0.0</v>
      </c>
      <c r="AA209" s="27">
        <v>1.0</v>
      </c>
      <c r="AC209" s="27">
        <v>465.0</v>
      </c>
      <c r="AD209" s="27">
        <f t="shared" ref="AD209:AK209" si="216">T209/$S$1</f>
        <v>0.004166666667</v>
      </c>
      <c r="AE209" s="27">
        <f t="shared" si="216"/>
        <v>0</v>
      </c>
      <c r="AF209" s="27">
        <f t="shared" si="216"/>
        <v>0</v>
      </c>
      <c r="AG209" s="27">
        <f t="shared" si="216"/>
        <v>0</v>
      </c>
      <c r="AH209" s="27">
        <f t="shared" si="216"/>
        <v>0.004166666667</v>
      </c>
      <c r="AI209" s="27">
        <f t="shared" si="216"/>
        <v>0.004166666667</v>
      </c>
      <c r="AJ209" s="27">
        <f t="shared" si="216"/>
        <v>0</v>
      </c>
      <c r="AK209" s="27">
        <f t="shared" si="216"/>
        <v>0.004166666667</v>
      </c>
    </row>
    <row r="210" ht="15.75" customHeight="1">
      <c r="A210" s="27">
        <v>209.0</v>
      </c>
      <c r="B210" s="27"/>
      <c r="C210" s="27">
        <f t="shared" si="2"/>
        <v>0</v>
      </c>
      <c r="D210" s="27">
        <v>353.0</v>
      </c>
      <c r="E210" s="27">
        <f t="shared" si="3"/>
        <v>0</v>
      </c>
      <c r="G210" s="27">
        <f t="shared" si="4"/>
        <v>0</v>
      </c>
      <c r="I210" s="27">
        <f t="shared" si="5"/>
        <v>0</v>
      </c>
      <c r="J210" s="27">
        <v>411.0</v>
      </c>
      <c r="K210" s="27">
        <f t="shared" si="6"/>
        <v>0</v>
      </c>
      <c r="L210" s="27">
        <v>307.0</v>
      </c>
      <c r="M210" s="27">
        <f t="shared" si="7"/>
        <v>0</v>
      </c>
      <c r="O210" s="27">
        <f t="shared" si="8"/>
        <v>0</v>
      </c>
      <c r="Q210" s="27">
        <f t="shared" si="9"/>
        <v>0</v>
      </c>
      <c r="S210" s="27">
        <v>468.0</v>
      </c>
      <c r="T210" s="27">
        <v>1.0</v>
      </c>
      <c r="U210" s="27">
        <v>0.0</v>
      </c>
      <c r="V210" s="27">
        <v>1.0</v>
      </c>
      <c r="W210" s="27">
        <v>0.0</v>
      </c>
      <c r="X210" s="27">
        <v>0.0</v>
      </c>
      <c r="Y210" s="27">
        <v>0.0</v>
      </c>
      <c r="Z210" s="27">
        <v>0.0</v>
      </c>
      <c r="AA210" s="27">
        <v>0.0</v>
      </c>
      <c r="AC210" s="27">
        <v>468.0</v>
      </c>
      <c r="AD210" s="27">
        <f t="shared" ref="AD210:AK210" si="217">T210/$S$1</f>
        <v>0.004166666667</v>
      </c>
      <c r="AE210" s="27">
        <f t="shared" si="217"/>
        <v>0</v>
      </c>
      <c r="AF210" s="27">
        <f t="shared" si="217"/>
        <v>0.004166666667</v>
      </c>
      <c r="AG210" s="27">
        <f t="shared" si="217"/>
        <v>0</v>
      </c>
      <c r="AH210" s="27">
        <f t="shared" si="217"/>
        <v>0</v>
      </c>
      <c r="AI210" s="27">
        <f t="shared" si="217"/>
        <v>0</v>
      </c>
      <c r="AJ210" s="27">
        <f t="shared" si="217"/>
        <v>0</v>
      </c>
      <c r="AK210" s="27">
        <f t="shared" si="217"/>
        <v>0</v>
      </c>
    </row>
    <row r="211" ht="15.75" customHeight="1">
      <c r="A211" s="27">
        <v>74.0</v>
      </c>
      <c r="B211" s="27"/>
      <c r="C211" s="27">
        <f t="shared" si="2"/>
        <v>0</v>
      </c>
      <c r="D211" s="27">
        <v>444.0</v>
      </c>
      <c r="E211" s="27">
        <f t="shared" si="3"/>
        <v>0</v>
      </c>
      <c r="G211" s="27">
        <f t="shared" si="4"/>
        <v>0</v>
      </c>
      <c r="I211" s="27">
        <f t="shared" si="5"/>
        <v>0</v>
      </c>
      <c r="J211" s="27">
        <v>25.0</v>
      </c>
      <c r="K211" s="27">
        <f t="shared" si="6"/>
        <v>0</v>
      </c>
      <c r="L211" s="27">
        <v>308.0</v>
      </c>
      <c r="M211" s="27">
        <f t="shared" si="7"/>
        <v>0</v>
      </c>
      <c r="O211" s="27">
        <f t="shared" si="8"/>
        <v>0</v>
      </c>
      <c r="Q211" s="27">
        <f t="shared" si="9"/>
        <v>0</v>
      </c>
      <c r="S211" s="27">
        <v>478.0</v>
      </c>
      <c r="T211" s="27">
        <v>3.0</v>
      </c>
      <c r="U211" s="27">
        <v>3.0</v>
      </c>
      <c r="V211" s="27">
        <v>3.0</v>
      </c>
      <c r="W211" s="27">
        <v>0.0</v>
      </c>
      <c r="X211" s="27">
        <v>0.0</v>
      </c>
      <c r="Y211" s="27">
        <v>3.0</v>
      </c>
      <c r="Z211" s="27">
        <v>0.0</v>
      </c>
      <c r="AA211" s="27">
        <v>3.0</v>
      </c>
      <c r="AC211" s="27">
        <v>478.0</v>
      </c>
      <c r="AD211" s="27">
        <f t="shared" ref="AD211:AK211" si="218">T211/$S$1</f>
        <v>0.0125</v>
      </c>
      <c r="AE211" s="27">
        <f t="shared" si="218"/>
        <v>0.0125</v>
      </c>
      <c r="AF211" s="27">
        <f t="shared" si="218"/>
        <v>0.0125</v>
      </c>
      <c r="AG211" s="27">
        <f t="shared" si="218"/>
        <v>0</v>
      </c>
      <c r="AH211" s="27">
        <f t="shared" si="218"/>
        <v>0</v>
      </c>
      <c r="AI211" s="27">
        <f t="shared" si="218"/>
        <v>0.0125</v>
      </c>
      <c r="AJ211" s="27">
        <f t="shared" si="218"/>
        <v>0</v>
      </c>
      <c r="AK211" s="27">
        <f t="shared" si="218"/>
        <v>0.0125</v>
      </c>
    </row>
    <row r="212" ht="15.75" customHeight="1">
      <c r="A212" s="27">
        <v>211.0</v>
      </c>
      <c r="B212" s="27"/>
      <c r="C212" s="27">
        <f t="shared" si="2"/>
        <v>0</v>
      </c>
      <c r="D212" s="27">
        <v>340.0</v>
      </c>
      <c r="E212" s="27">
        <f t="shared" si="3"/>
        <v>0</v>
      </c>
      <c r="G212" s="27">
        <f t="shared" si="4"/>
        <v>0</v>
      </c>
      <c r="I212" s="27">
        <f t="shared" si="5"/>
        <v>0</v>
      </c>
      <c r="J212" s="27">
        <v>417.0</v>
      </c>
      <c r="K212" s="27">
        <f t="shared" si="6"/>
        <v>0</v>
      </c>
      <c r="L212" s="27">
        <v>43.0</v>
      </c>
      <c r="M212" s="27">
        <f t="shared" si="7"/>
        <v>0</v>
      </c>
      <c r="O212" s="27">
        <f t="shared" si="8"/>
        <v>0</v>
      </c>
      <c r="Q212" s="27">
        <f t="shared" si="9"/>
        <v>0</v>
      </c>
      <c r="S212" s="27">
        <v>481.0</v>
      </c>
      <c r="T212" s="27">
        <v>2.0</v>
      </c>
      <c r="U212" s="27">
        <v>0.0</v>
      </c>
      <c r="V212" s="27">
        <v>1.0</v>
      </c>
      <c r="W212" s="27">
        <v>0.0</v>
      </c>
      <c r="X212" s="27">
        <v>0.0</v>
      </c>
      <c r="Y212" s="27">
        <v>0.0</v>
      </c>
      <c r="Z212" s="27">
        <v>0.0</v>
      </c>
      <c r="AA212" s="27">
        <v>0.0</v>
      </c>
      <c r="AC212" s="27">
        <v>481.0</v>
      </c>
      <c r="AD212" s="27">
        <f t="shared" ref="AD212:AK212" si="219">T212/$S$1</f>
        <v>0.008333333333</v>
      </c>
      <c r="AE212" s="27">
        <f t="shared" si="219"/>
        <v>0</v>
      </c>
      <c r="AF212" s="27">
        <f t="shared" si="219"/>
        <v>0.004166666667</v>
      </c>
      <c r="AG212" s="27">
        <f t="shared" si="219"/>
        <v>0</v>
      </c>
      <c r="AH212" s="27">
        <f t="shared" si="219"/>
        <v>0</v>
      </c>
      <c r="AI212" s="27">
        <f t="shared" si="219"/>
        <v>0</v>
      </c>
      <c r="AJ212" s="27">
        <f t="shared" si="219"/>
        <v>0</v>
      </c>
      <c r="AK212" s="27">
        <f t="shared" si="219"/>
        <v>0</v>
      </c>
    </row>
    <row r="213" ht="15.75" customHeight="1">
      <c r="A213" s="27">
        <v>23.0</v>
      </c>
      <c r="B213" s="27"/>
      <c r="C213" s="27">
        <f t="shared" si="2"/>
        <v>0</v>
      </c>
      <c r="D213" s="27">
        <v>455.0</v>
      </c>
      <c r="E213" s="27">
        <f t="shared" si="3"/>
        <v>0</v>
      </c>
      <c r="G213" s="27">
        <f t="shared" si="4"/>
        <v>0</v>
      </c>
      <c r="I213" s="27">
        <f t="shared" si="5"/>
        <v>0</v>
      </c>
      <c r="J213" s="27">
        <v>418.0</v>
      </c>
      <c r="K213" s="27">
        <f t="shared" si="6"/>
        <v>0</v>
      </c>
      <c r="L213" s="27">
        <v>295.0</v>
      </c>
      <c r="M213" s="27">
        <f t="shared" si="7"/>
        <v>0</v>
      </c>
      <c r="O213" s="27">
        <f t="shared" si="8"/>
        <v>0</v>
      </c>
      <c r="Q213" s="27">
        <f t="shared" si="9"/>
        <v>0</v>
      </c>
      <c r="S213" s="27">
        <v>483.0</v>
      </c>
      <c r="T213" s="27">
        <v>1.0</v>
      </c>
      <c r="U213" s="27">
        <v>0.0</v>
      </c>
      <c r="V213" s="27">
        <v>1.0</v>
      </c>
      <c r="W213" s="27">
        <v>0.0</v>
      </c>
      <c r="X213" s="27">
        <v>1.0</v>
      </c>
      <c r="Y213" s="27">
        <v>0.0</v>
      </c>
      <c r="Z213" s="27">
        <v>0.0</v>
      </c>
      <c r="AA213" s="27">
        <v>0.0</v>
      </c>
      <c r="AC213" s="27">
        <v>483.0</v>
      </c>
      <c r="AD213" s="27">
        <f t="shared" ref="AD213:AK213" si="220">T213/$S$1</f>
        <v>0.004166666667</v>
      </c>
      <c r="AE213" s="27">
        <f t="shared" si="220"/>
        <v>0</v>
      </c>
      <c r="AF213" s="27">
        <f t="shared" si="220"/>
        <v>0.004166666667</v>
      </c>
      <c r="AG213" s="27">
        <f t="shared" si="220"/>
        <v>0</v>
      </c>
      <c r="AH213" s="27">
        <f t="shared" si="220"/>
        <v>0.004166666667</v>
      </c>
      <c r="AI213" s="27">
        <f t="shared" si="220"/>
        <v>0</v>
      </c>
      <c r="AJ213" s="27">
        <f t="shared" si="220"/>
        <v>0</v>
      </c>
      <c r="AK213" s="27">
        <f t="shared" si="220"/>
        <v>0</v>
      </c>
    </row>
    <row r="214" ht="15.75" customHeight="1">
      <c r="A214" s="27">
        <v>50.0</v>
      </c>
      <c r="B214" s="27"/>
      <c r="C214" s="27">
        <f t="shared" si="2"/>
        <v>0</v>
      </c>
      <c r="D214" s="27">
        <v>313.0</v>
      </c>
      <c r="E214" s="27">
        <f t="shared" si="3"/>
        <v>0</v>
      </c>
      <c r="G214" s="27">
        <f t="shared" si="4"/>
        <v>0</v>
      </c>
      <c r="I214" s="27">
        <f t="shared" si="5"/>
        <v>0</v>
      </c>
      <c r="J214" s="27">
        <v>116.0</v>
      </c>
      <c r="K214" s="27">
        <f t="shared" si="6"/>
        <v>0</v>
      </c>
      <c r="L214" s="27">
        <v>311.0</v>
      </c>
      <c r="M214" s="27">
        <f t="shared" si="7"/>
        <v>0</v>
      </c>
      <c r="O214" s="27">
        <f t="shared" si="8"/>
        <v>0</v>
      </c>
      <c r="Q214" s="27">
        <f t="shared" si="9"/>
        <v>0</v>
      </c>
      <c r="S214" s="27">
        <v>485.0</v>
      </c>
      <c r="T214" s="27">
        <v>1.0</v>
      </c>
      <c r="U214" s="27">
        <v>0.0</v>
      </c>
      <c r="V214" s="27">
        <v>0.0</v>
      </c>
      <c r="W214" s="27">
        <v>0.0</v>
      </c>
      <c r="X214" s="27">
        <v>0.0</v>
      </c>
      <c r="Y214" s="27">
        <v>0.0</v>
      </c>
      <c r="Z214" s="27">
        <v>0.0</v>
      </c>
      <c r="AA214" s="27">
        <v>0.0</v>
      </c>
      <c r="AC214" s="27">
        <v>485.0</v>
      </c>
      <c r="AD214" s="27">
        <f t="shared" ref="AD214:AK214" si="221">T214/$S$1</f>
        <v>0.004166666667</v>
      </c>
      <c r="AE214" s="27">
        <f t="shared" si="221"/>
        <v>0</v>
      </c>
      <c r="AF214" s="27">
        <f t="shared" si="221"/>
        <v>0</v>
      </c>
      <c r="AG214" s="27">
        <f t="shared" si="221"/>
        <v>0</v>
      </c>
      <c r="AH214" s="27">
        <f t="shared" si="221"/>
        <v>0</v>
      </c>
      <c r="AI214" s="27">
        <f t="shared" si="221"/>
        <v>0</v>
      </c>
      <c r="AJ214" s="27">
        <f t="shared" si="221"/>
        <v>0</v>
      </c>
      <c r="AK214" s="27">
        <f t="shared" si="221"/>
        <v>0</v>
      </c>
    </row>
    <row r="215" ht="15.75" customHeight="1">
      <c r="A215" s="27">
        <v>214.0</v>
      </c>
      <c r="B215" s="27"/>
      <c r="C215" s="27">
        <f t="shared" si="2"/>
        <v>0</v>
      </c>
      <c r="D215" s="27">
        <v>296.0</v>
      </c>
      <c r="E215" s="27">
        <f t="shared" si="3"/>
        <v>0</v>
      </c>
      <c r="G215" s="27">
        <f t="shared" si="4"/>
        <v>0</v>
      </c>
      <c r="I215" s="27">
        <f t="shared" si="5"/>
        <v>0</v>
      </c>
      <c r="J215" s="27">
        <v>424.0</v>
      </c>
      <c r="K215" s="27">
        <f t="shared" si="6"/>
        <v>0</v>
      </c>
      <c r="L215" s="27">
        <v>312.0</v>
      </c>
      <c r="M215" s="27">
        <f t="shared" si="7"/>
        <v>0</v>
      </c>
      <c r="O215" s="27">
        <f t="shared" si="8"/>
        <v>0</v>
      </c>
      <c r="Q215" s="27">
        <f t="shared" si="9"/>
        <v>0</v>
      </c>
      <c r="S215" s="27">
        <v>487.0</v>
      </c>
      <c r="T215" s="27">
        <v>1.0</v>
      </c>
      <c r="U215" s="27">
        <v>0.0</v>
      </c>
      <c r="V215" s="27">
        <v>0.0</v>
      </c>
      <c r="W215" s="27">
        <v>0.0</v>
      </c>
      <c r="X215" s="27">
        <v>1.0</v>
      </c>
      <c r="Y215" s="27">
        <v>1.0</v>
      </c>
      <c r="Z215" s="27">
        <v>0.0</v>
      </c>
      <c r="AA215" s="27">
        <v>0.0</v>
      </c>
      <c r="AC215" s="27">
        <v>487.0</v>
      </c>
      <c r="AD215" s="27">
        <f t="shared" ref="AD215:AK215" si="222">T215/$S$1</f>
        <v>0.004166666667</v>
      </c>
      <c r="AE215" s="27">
        <f t="shared" si="222"/>
        <v>0</v>
      </c>
      <c r="AF215" s="27">
        <f t="shared" si="222"/>
        <v>0</v>
      </c>
      <c r="AG215" s="27">
        <f t="shared" si="222"/>
        <v>0</v>
      </c>
      <c r="AH215" s="27">
        <f t="shared" si="222"/>
        <v>0.004166666667</v>
      </c>
      <c r="AI215" s="27">
        <f t="shared" si="222"/>
        <v>0.004166666667</v>
      </c>
      <c r="AJ215" s="27">
        <f t="shared" si="222"/>
        <v>0</v>
      </c>
      <c r="AK215" s="27">
        <f t="shared" si="222"/>
        <v>0</v>
      </c>
    </row>
    <row r="216" ht="15.75" customHeight="1">
      <c r="A216" s="27">
        <v>74.0</v>
      </c>
      <c r="B216" s="27"/>
      <c r="C216" s="27">
        <f t="shared" si="2"/>
        <v>0</v>
      </c>
      <c r="D216" s="27">
        <v>340.0</v>
      </c>
      <c r="E216" s="27">
        <f t="shared" si="3"/>
        <v>0</v>
      </c>
      <c r="G216" s="27">
        <f t="shared" si="4"/>
        <v>0</v>
      </c>
      <c r="I216" s="27">
        <f t="shared" si="5"/>
        <v>0</v>
      </c>
      <c r="J216" s="27">
        <v>195.0</v>
      </c>
      <c r="K216" s="27">
        <f t="shared" si="6"/>
        <v>0</v>
      </c>
      <c r="L216" s="27">
        <v>314.0</v>
      </c>
      <c r="M216" s="27">
        <f t="shared" si="7"/>
        <v>0</v>
      </c>
      <c r="O216" s="27">
        <f t="shared" si="8"/>
        <v>0</v>
      </c>
      <c r="Q216" s="27">
        <f t="shared" si="9"/>
        <v>0</v>
      </c>
      <c r="S216" s="27">
        <v>490.0</v>
      </c>
      <c r="T216" s="27">
        <v>1.0</v>
      </c>
      <c r="U216" s="27">
        <v>0.0</v>
      </c>
      <c r="V216" s="27">
        <v>1.0</v>
      </c>
      <c r="W216" s="27">
        <v>0.0</v>
      </c>
      <c r="X216" s="27">
        <v>0.0</v>
      </c>
      <c r="Y216" s="27">
        <v>0.0</v>
      </c>
      <c r="Z216" s="27">
        <v>0.0</v>
      </c>
      <c r="AA216" s="27">
        <v>0.0</v>
      </c>
      <c r="AC216" s="27">
        <v>490.0</v>
      </c>
      <c r="AD216" s="27">
        <f t="shared" ref="AD216:AK216" si="223">T216/$S$1</f>
        <v>0.004166666667</v>
      </c>
      <c r="AE216" s="27">
        <f t="shared" si="223"/>
        <v>0</v>
      </c>
      <c r="AF216" s="27">
        <f t="shared" si="223"/>
        <v>0.004166666667</v>
      </c>
      <c r="AG216" s="27">
        <f t="shared" si="223"/>
        <v>0</v>
      </c>
      <c r="AH216" s="27">
        <f t="shared" si="223"/>
        <v>0</v>
      </c>
      <c r="AI216" s="27">
        <f t="shared" si="223"/>
        <v>0</v>
      </c>
      <c r="AJ216" s="27">
        <f t="shared" si="223"/>
        <v>0</v>
      </c>
      <c r="AK216" s="27">
        <f t="shared" si="223"/>
        <v>0</v>
      </c>
    </row>
    <row r="217" ht="15.75" customHeight="1">
      <c r="A217" s="27">
        <v>171.0</v>
      </c>
      <c r="B217" s="27"/>
      <c r="C217" s="27">
        <f t="shared" si="2"/>
        <v>0</v>
      </c>
      <c r="D217" s="27">
        <v>383.0</v>
      </c>
      <c r="E217" s="27">
        <f t="shared" si="3"/>
        <v>0</v>
      </c>
      <c r="G217" s="27">
        <f t="shared" si="4"/>
        <v>0</v>
      </c>
      <c r="I217" s="27">
        <f t="shared" si="5"/>
        <v>0</v>
      </c>
      <c r="J217" s="27">
        <v>385.0</v>
      </c>
      <c r="K217" s="27">
        <f t="shared" si="6"/>
        <v>0</v>
      </c>
      <c r="L217" s="27">
        <v>52.0</v>
      </c>
      <c r="M217" s="27">
        <f t="shared" si="7"/>
        <v>0</v>
      </c>
      <c r="O217" s="27">
        <f t="shared" si="8"/>
        <v>0</v>
      </c>
      <c r="Q217" s="27">
        <f t="shared" si="9"/>
        <v>0</v>
      </c>
      <c r="S217" s="27">
        <v>494.0</v>
      </c>
      <c r="T217" s="27">
        <v>1.0</v>
      </c>
      <c r="U217" s="27">
        <v>0.0</v>
      </c>
      <c r="V217" s="27">
        <v>0.0</v>
      </c>
      <c r="W217" s="27">
        <v>0.0</v>
      </c>
      <c r="X217" s="27">
        <v>0.0</v>
      </c>
      <c r="Y217" s="27">
        <v>0.0</v>
      </c>
      <c r="Z217" s="27">
        <v>0.0</v>
      </c>
      <c r="AA217" s="27">
        <v>0.0</v>
      </c>
      <c r="AC217" s="27">
        <v>494.0</v>
      </c>
      <c r="AD217" s="27">
        <f t="shared" ref="AD217:AK217" si="224">T217/$S$1</f>
        <v>0.004166666667</v>
      </c>
      <c r="AE217" s="27">
        <f t="shared" si="224"/>
        <v>0</v>
      </c>
      <c r="AF217" s="27">
        <f t="shared" si="224"/>
        <v>0</v>
      </c>
      <c r="AG217" s="27">
        <f t="shared" si="224"/>
        <v>0</v>
      </c>
      <c r="AH217" s="27">
        <f t="shared" si="224"/>
        <v>0</v>
      </c>
      <c r="AI217" s="27">
        <f t="shared" si="224"/>
        <v>0</v>
      </c>
      <c r="AJ217" s="27">
        <f t="shared" si="224"/>
        <v>0</v>
      </c>
      <c r="AK217" s="27">
        <f t="shared" si="224"/>
        <v>0</v>
      </c>
    </row>
    <row r="218" ht="15.75" customHeight="1">
      <c r="A218" s="27">
        <v>74.0</v>
      </c>
      <c r="B218" s="27"/>
      <c r="C218" s="27">
        <f t="shared" si="2"/>
        <v>0</v>
      </c>
      <c r="D218" s="27">
        <v>284.0</v>
      </c>
      <c r="E218" s="27">
        <f t="shared" si="3"/>
        <v>0</v>
      </c>
      <c r="G218" s="27">
        <f t="shared" si="4"/>
        <v>0</v>
      </c>
      <c r="I218" s="27">
        <f t="shared" si="5"/>
        <v>0</v>
      </c>
      <c r="J218" s="27">
        <v>437.0</v>
      </c>
      <c r="K218" s="27">
        <f t="shared" si="6"/>
        <v>0</v>
      </c>
      <c r="L218" s="27">
        <v>12.0</v>
      </c>
      <c r="M218" s="27">
        <f t="shared" si="7"/>
        <v>0</v>
      </c>
      <c r="O218" s="27">
        <f t="shared" si="8"/>
        <v>0</v>
      </c>
      <c r="Q218" s="27">
        <f t="shared" si="9"/>
        <v>0</v>
      </c>
      <c r="S218" s="27">
        <v>499.0</v>
      </c>
      <c r="T218" s="27">
        <v>1.0</v>
      </c>
      <c r="U218" s="27">
        <v>0.0</v>
      </c>
      <c r="V218" s="27">
        <v>1.0</v>
      </c>
      <c r="W218" s="27">
        <v>0.0</v>
      </c>
      <c r="X218" s="27">
        <v>0.0</v>
      </c>
      <c r="Y218" s="27">
        <v>0.0</v>
      </c>
      <c r="Z218" s="27">
        <v>0.0</v>
      </c>
      <c r="AA218" s="27">
        <v>0.0</v>
      </c>
      <c r="AC218" s="27">
        <v>499.0</v>
      </c>
      <c r="AD218" s="27">
        <f t="shared" ref="AD218:AK218" si="225">T218/$S$1</f>
        <v>0.004166666667</v>
      </c>
      <c r="AE218" s="27">
        <f t="shared" si="225"/>
        <v>0</v>
      </c>
      <c r="AF218" s="27">
        <f t="shared" si="225"/>
        <v>0.004166666667</v>
      </c>
      <c r="AG218" s="27">
        <f t="shared" si="225"/>
        <v>0</v>
      </c>
      <c r="AH218" s="27">
        <f t="shared" si="225"/>
        <v>0</v>
      </c>
      <c r="AI218" s="27">
        <f t="shared" si="225"/>
        <v>0</v>
      </c>
      <c r="AJ218" s="27">
        <f t="shared" si="225"/>
        <v>0</v>
      </c>
      <c r="AK218" s="27">
        <f t="shared" si="225"/>
        <v>0</v>
      </c>
    </row>
    <row r="219" ht="15.75" customHeight="1">
      <c r="A219" s="27">
        <v>218.0</v>
      </c>
      <c r="B219" s="27"/>
      <c r="C219" s="27">
        <f t="shared" si="2"/>
        <v>0</v>
      </c>
      <c r="D219" s="27">
        <v>465.0</v>
      </c>
      <c r="E219" s="27">
        <f t="shared" si="3"/>
        <v>0</v>
      </c>
      <c r="G219" s="27">
        <f t="shared" si="4"/>
        <v>0</v>
      </c>
      <c r="I219" s="27">
        <f t="shared" si="5"/>
        <v>0</v>
      </c>
      <c r="J219" s="27">
        <v>302.0</v>
      </c>
      <c r="K219" s="27">
        <f t="shared" si="6"/>
        <v>0</v>
      </c>
      <c r="L219" s="27">
        <v>319.0</v>
      </c>
      <c r="M219" s="27">
        <f t="shared" si="7"/>
        <v>0</v>
      </c>
      <c r="O219" s="27">
        <f t="shared" si="8"/>
        <v>0</v>
      </c>
      <c r="Q219" s="27">
        <f t="shared" si="9"/>
        <v>0</v>
      </c>
      <c r="S219" s="27">
        <v>502.0</v>
      </c>
      <c r="T219" s="27">
        <v>1.0</v>
      </c>
      <c r="U219" s="27">
        <v>0.0</v>
      </c>
      <c r="V219" s="27">
        <v>1.0</v>
      </c>
      <c r="W219" s="27">
        <v>0.0</v>
      </c>
      <c r="X219" s="27">
        <v>1.0</v>
      </c>
      <c r="Y219" s="27">
        <v>0.0</v>
      </c>
      <c r="Z219" s="27">
        <v>0.0</v>
      </c>
      <c r="AA219" s="27">
        <v>0.0</v>
      </c>
      <c r="AC219" s="27">
        <v>502.0</v>
      </c>
      <c r="AD219" s="27">
        <f t="shared" ref="AD219:AK219" si="226">T219/$S$1</f>
        <v>0.004166666667</v>
      </c>
      <c r="AE219" s="27">
        <f t="shared" si="226"/>
        <v>0</v>
      </c>
      <c r="AF219" s="27">
        <f t="shared" si="226"/>
        <v>0.004166666667</v>
      </c>
      <c r="AG219" s="27">
        <f t="shared" si="226"/>
        <v>0</v>
      </c>
      <c r="AH219" s="27">
        <f t="shared" si="226"/>
        <v>0.004166666667</v>
      </c>
      <c r="AI219" s="27">
        <f t="shared" si="226"/>
        <v>0</v>
      </c>
      <c r="AJ219" s="27">
        <f t="shared" si="226"/>
        <v>0</v>
      </c>
      <c r="AK219" s="27">
        <f t="shared" si="226"/>
        <v>0</v>
      </c>
    </row>
    <row r="220" ht="15.75" customHeight="1">
      <c r="A220" s="27">
        <v>74.0</v>
      </c>
      <c r="B220" s="27"/>
      <c r="C220" s="27">
        <f t="shared" si="2"/>
        <v>0</v>
      </c>
      <c r="D220" s="27">
        <v>330.0</v>
      </c>
      <c r="E220" s="27">
        <f t="shared" si="3"/>
        <v>0</v>
      </c>
      <c r="G220" s="27">
        <f t="shared" si="4"/>
        <v>0</v>
      </c>
      <c r="I220" s="27">
        <f t="shared" si="5"/>
        <v>0</v>
      </c>
      <c r="J220" s="27">
        <v>200.0</v>
      </c>
      <c r="K220" s="27">
        <f t="shared" si="6"/>
        <v>0</v>
      </c>
      <c r="L220" s="27">
        <v>321.0</v>
      </c>
      <c r="M220" s="27">
        <f t="shared" si="7"/>
        <v>0</v>
      </c>
      <c r="O220" s="27">
        <f t="shared" si="8"/>
        <v>0</v>
      </c>
      <c r="Q220" s="27">
        <f t="shared" si="9"/>
        <v>0</v>
      </c>
      <c r="S220" s="27">
        <v>505.0</v>
      </c>
      <c r="T220" s="27">
        <v>1.0</v>
      </c>
      <c r="U220" s="27">
        <v>0.0</v>
      </c>
      <c r="V220" s="27">
        <v>0.0</v>
      </c>
      <c r="W220" s="27">
        <v>0.0</v>
      </c>
      <c r="X220" s="27">
        <v>1.0</v>
      </c>
      <c r="Y220" s="27">
        <v>1.0</v>
      </c>
      <c r="Z220" s="27">
        <v>0.0</v>
      </c>
      <c r="AA220" s="27">
        <v>0.0</v>
      </c>
      <c r="AC220" s="27">
        <v>505.0</v>
      </c>
      <c r="AD220" s="27">
        <f t="shared" ref="AD220:AK220" si="227">T220/$S$1</f>
        <v>0.004166666667</v>
      </c>
      <c r="AE220" s="27">
        <f t="shared" si="227"/>
        <v>0</v>
      </c>
      <c r="AF220" s="27">
        <f t="shared" si="227"/>
        <v>0</v>
      </c>
      <c r="AG220" s="27">
        <f t="shared" si="227"/>
        <v>0</v>
      </c>
      <c r="AH220" s="27">
        <f t="shared" si="227"/>
        <v>0.004166666667</v>
      </c>
      <c r="AI220" s="27">
        <f t="shared" si="227"/>
        <v>0.004166666667</v>
      </c>
      <c r="AJ220" s="27">
        <f t="shared" si="227"/>
        <v>0</v>
      </c>
      <c r="AK220" s="27">
        <f t="shared" si="227"/>
        <v>0</v>
      </c>
    </row>
    <row r="221" ht="15.75" customHeight="1">
      <c r="A221" s="27">
        <v>220.0</v>
      </c>
      <c r="B221" s="27"/>
      <c r="C221" s="27">
        <f t="shared" si="2"/>
        <v>0</v>
      </c>
      <c r="D221" s="27">
        <v>333.0</v>
      </c>
      <c r="E221" s="27">
        <f t="shared" si="3"/>
        <v>0</v>
      </c>
      <c r="G221" s="27">
        <f t="shared" si="4"/>
        <v>0</v>
      </c>
      <c r="I221" s="27">
        <f t="shared" si="5"/>
        <v>0</v>
      </c>
      <c r="J221" s="27">
        <v>441.0</v>
      </c>
      <c r="K221" s="27">
        <f t="shared" si="6"/>
        <v>0</v>
      </c>
      <c r="L221" s="27">
        <v>74.0</v>
      </c>
      <c r="M221" s="27">
        <f t="shared" si="7"/>
        <v>0</v>
      </c>
      <c r="O221" s="27">
        <f t="shared" si="8"/>
        <v>0</v>
      </c>
      <c r="Q221" s="27">
        <f t="shared" si="9"/>
        <v>0</v>
      </c>
      <c r="S221" s="27">
        <v>508.0</v>
      </c>
      <c r="T221" s="27">
        <v>1.0</v>
      </c>
      <c r="U221" s="27">
        <v>0.0</v>
      </c>
      <c r="V221" s="27">
        <v>1.0</v>
      </c>
      <c r="W221" s="27">
        <v>0.0</v>
      </c>
      <c r="X221" s="27">
        <v>1.0</v>
      </c>
      <c r="Y221" s="27">
        <v>0.0</v>
      </c>
      <c r="Z221" s="27">
        <v>0.0</v>
      </c>
      <c r="AA221" s="27">
        <v>0.0</v>
      </c>
      <c r="AC221" s="27">
        <v>508.0</v>
      </c>
      <c r="AD221" s="27">
        <f t="shared" ref="AD221:AK221" si="228">T221/$S$1</f>
        <v>0.004166666667</v>
      </c>
      <c r="AE221" s="27">
        <f t="shared" si="228"/>
        <v>0</v>
      </c>
      <c r="AF221" s="27">
        <f t="shared" si="228"/>
        <v>0.004166666667</v>
      </c>
      <c r="AG221" s="27">
        <f t="shared" si="228"/>
        <v>0</v>
      </c>
      <c r="AH221" s="27">
        <f t="shared" si="228"/>
        <v>0.004166666667</v>
      </c>
      <c r="AI221" s="27">
        <f t="shared" si="228"/>
        <v>0</v>
      </c>
      <c r="AJ221" s="27">
        <f t="shared" si="228"/>
        <v>0</v>
      </c>
      <c r="AK221" s="27">
        <f t="shared" si="228"/>
        <v>0</v>
      </c>
    </row>
    <row r="222" ht="15.75" customHeight="1">
      <c r="A222" s="27">
        <v>221.0</v>
      </c>
      <c r="B222" s="27"/>
      <c r="C222" s="27">
        <f t="shared" si="2"/>
        <v>0</v>
      </c>
      <c r="D222" s="27">
        <v>74.0</v>
      </c>
      <c r="E222" s="27">
        <f t="shared" si="3"/>
        <v>0</v>
      </c>
      <c r="G222" s="27">
        <f t="shared" si="4"/>
        <v>0</v>
      </c>
      <c r="I222" s="27">
        <f t="shared" si="5"/>
        <v>0</v>
      </c>
      <c r="J222" s="27">
        <v>445.0</v>
      </c>
      <c r="K222" s="27">
        <f t="shared" si="6"/>
        <v>0</v>
      </c>
      <c r="L222" s="27">
        <v>221.0</v>
      </c>
      <c r="M222" s="27">
        <f t="shared" si="7"/>
        <v>0</v>
      </c>
      <c r="O222" s="27">
        <f t="shared" si="8"/>
        <v>0</v>
      </c>
      <c r="Q222" s="27">
        <f t="shared" si="9"/>
        <v>0</v>
      </c>
      <c r="S222" s="27">
        <v>509.0</v>
      </c>
      <c r="T222" s="27">
        <v>1.0</v>
      </c>
      <c r="U222" s="27">
        <v>0.0</v>
      </c>
      <c r="V222" s="27">
        <v>1.0</v>
      </c>
      <c r="W222" s="27">
        <v>0.0</v>
      </c>
      <c r="X222" s="27">
        <v>1.0</v>
      </c>
      <c r="Y222" s="27">
        <v>0.0</v>
      </c>
      <c r="Z222" s="27">
        <v>0.0</v>
      </c>
      <c r="AA222" s="27">
        <v>0.0</v>
      </c>
      <c r="AC222" s="27">
        <v>509.0</v>
      </c>
      <c r="AD222" s="27">
        <f t="shared" ref="AD222:AK222" si="229">T222/$S$1</f>
        <v>0.004166666667</v>
      </c>
      <c r="AE222" s="27">
        <f t="shared" si="229"/>
        <v>0</v>
      </c>
      <c r="AF222" s="27">
        <f t="shared" si="229"/>
        <v>0.004166666667</v>
      </c>
      <c r="AG222" s="27">
        <f t="shared" si="229"/>
        <v>0</v>
      </c>
      <c r="AH222" s="27">
        <f t="shared" si="229"/>
        <v>0.004166666667</v>
      </c>
      <c r="AI222" s="27">
        <f t="shared" si="229"/>
        <v>0</v>
      </c>
      <c r="AJ222" s="27">
        <f t="shared" si="229"/>
        <v>0</v>
      </c>
      <c r="AK222" s="27">
        <f t="shared" si="229"/>
        <v>0</v>
      </c>
    </row>
    <row r="223" ht="15.75" customHeight="1">
      <c r="A223" s="27">
        <v>42.0</v>
      </c>
      <c r="B223" s="27"/>
      <c r="C223" s="27">
        <f t="shared" si="2"/>
        <v>0</v>
      </c>
      <c r="D223" s="27">
        <v>118.0</v>
      </c>
      <c r="E223" s="27">
        <f t="shared" si="3"/>
        <v>0</v>
      </c>
      <c r="G223" s="27">
        <f t="shared" si="4"/>
        <v>0</v>
      </c>
      <c r="I223" s="27">
        <f t="shared" si="5"/>
        <v>0</v>
      </c>
      <c r="J223" s="27">
        <v>345.0</v>
      </c>
      <c r="K223" s="27">
        <f t="shared" si="6"/>
        <v>0</v>
      </c>
      <c r="L223" s="27">
        <v>325.0</v>
      </c>
      <c r="M223" s="27">
        <f t="shared" si="7"/>
        <v>0</v>
      </c>
      <c r="O223" s="27">
        <f t="shared" si="8"/>
        <v>0</v>
      </c>
      <c r="Q223" s="27">
        <f t="shared" si="9"/>
        <v>0</v>
      </c>
      <c r="S223" s="27">
        <v>511.0</v>
      </c>
      <c r="T223" s="27">
        <v>1.0</v>
      </c>
      <c r="U223" s="27">
        <v>0.0</v>
      </c>
      <c r="V223" s="27">
        <v>0.0</v>
      </c>
      <c r="W223" s="27">
        <v>0.0</v>
      </c>
      <c r="X223" s="27">
        <v>1.0</v>
      </c>
      <c r="Y223" s="27">
        <v>1.0</v>
      </c>
      <c r="Z223" s="27">
        <v>0.0</v>
      </c>
      <c r="AA223" s="27">
        <v>1.0</v>
      </c>
      <c r="AC223" s="27">
        <v>511.0</v>
      </c>
      <c r="AD223" s="27">
        <f t="shared" ref="AD223:AK223" si="230">T223/$S$1</f>
        <v>0.004166666667</v>
      </c>
      <c r="AE223" s="27">
        <f t="shared" si="230"/>
        <v>0</v>
      </c>
      <c r="AF223" s="27">
        <f t="shared" si="230"/>
        <v>0</v>
      </c>
      <c r="AG223" s="27">
        <f t="shared" si="230"/>
        <v>0</v>
      </c>
      <c r="AH223" s="27">
        <f t="shared" si="230"/>
        <v>0.004166666667</v>
      </c>
      <c r="AI223" s="27">
        <f t="shared" si="230"/>
        <v>0.004166666667</v>
      </c>
      <c r="AJ223" s="27">
        <f t="shared" si="230"/>
        <v>0</v>
      </c>
      <c r="AK223" s="27">
        <f t="shared" si="230"/>
        <v>0.004166666667</v>
      </c>
    </row>
    <row r="224" ht="15.75" customHeight="1">
      <c r="A224" s="27">
        <v>43.0</v>
      </c>
      <c r="B224" s="27"/>
      <c r="C224" s="27">
        <f t="shared" si="2"/>
        <v>0</v>
      </c>
      <c r="D224" s="27">
        <v>340.0</v>
      </c>
      <c r="E224" s="27">
        <f t="shared" si="3"/>
        <v>0</v>
      </c>
      <c r="G224" s="27">
        <f t="shared" si="4"/>
        <v>0</v>
      </c>
      <c r="I224" s="27">
        <f t="shared" si="5"/>
        <v>0</v>
      </c>
      <c r="J224" s="27">
        <v>116.0</v>
      </c>
      <c r="K224" s="27">
        <f t="shared" si="6"/>
        <v>0</v>
      </c>
      <c r="L224" s="27">
        <v>327.0</v>
      </c>
      <c r="M224" s="27">
        <f t="shared" si="7"/>
        <v>0</v>
      </c>
      <c r="O224" s="27">
        <f t="shared" si="8"/>
        <v>0</v>
      </c>
      <c r="Q224" s="27">
        <f t="shared" si="9"/>
        <v>0</v>
      </c>
      <c r="S224" s="27">
        <v>512.0</v>
      </c>
      <c r="T224" s="27">
        <v>2.0</v>
      </c>
      <c r="U224" s="27">
        <v>2.0</v>
      </c>
      <c r="V224" s="27">
        <v>2.0</v>
      </c>
      <c r="W224" s="27">
        <v>0.0</v>
      </c>
      <c r="X224" s="27">
        <v>2.0</v>
      </c>
      <c r="Y224" s="27">
        <v>0.0</v>
      </c>
      <c r="Z224" s="27">
        <v>0.0</v>
      </c>
      <c r="AA224" s="27">
        <v>0.0</v>
      </c>
      <c r="AC224" s="27">
        <v>512.0</v>
      </c>
      <c r="AD224" s="27">
        <f t="shared" ref="AD224:AK224" si="231">T224/$S$1</f>
        <v>0.008333333333</v>
      </c>
      <c r="AE224" s="27">
        <f t="shared" si="231"/>
        <v>0.008333333333</v>
      </c>
      <c r="AF224" s="27">
        <f t="shared" si="231"/>
        <v>0.008333333333</v>
      </c>
      <c r="AG224" s="27">
        <f t="shared" si="231"/>
        <v>0</v>
      </c>
      <c r="AH224" s="27">
        <f t="shared" si="231"/>
        <v>0.008333333333</v>
      </c>
      <c r="AI224" s="27">
        <f t="shared" si="231"/>
        <v>0</v>
      </c>
      <c r="AJ224" s="27">
        <f t="shared" si="231"/>
        <v>0</v>
      </c>
      <c r="AK224" s="27">
        <f t="shared" si="231"/>
        <v>0</v>
      </c>
    </row>
    <row r="225" ht="15.75" customHeight="1">
      <c r="A225" s="27">
        <v>120.0</v>
      </c>
      <c r="B225" s="27"/>
      <c r="C225" s="27">
        <f t="shared" si="2"/>
        <v>0</v>
      </c>
      <c r="D225" s="27">
        <v>74.0</v>
      </c>
      <c r="E225" s="27">
        <f t="shared" si="3"/>
        <v>0</v>
      </c>
      <c r="G225" s="27">
        <f t="shared" si="4"/>
        <v>0</v>
      </c>
      <c r="I225" s="27">
        <f t="shared" si="5"/>
        <v>0</v>
      </c>
      <c r="J225" s="27">
        <v>195.0</v>
      </c>
      <c r="K225" s="27">
        <f t="shared" si="6"/>
        <v>0</v>
      </c>
      <c r="L225" s="27">
        <v>218.0</v>
      </c>
      <c r="M225" s="27">
        <f t="shared" si="7"/>
        <v>0</v>
      </c>
      <c r="O225" s="27">
        <f t="shared" si="8"/>
        <v>0</v>
      </c>
      <c r="Q225" s="27">
        <f t="shared" si="9"/>
        <v>0</v>
      </c>
      <c r="S225" s="27">
        <v>517.0</v>
      </c>
      <c r="T225" s="27">
        <v>2.0</v>
      </c>
      <c r="U225" s="27">
        <v>0.0</v>
      </c>
      <c r="V225" s="27">
        <v>0.0</v>
      </c>
      <c r="W225" s="27">
        <v>0.0</v>
      </c>
      <c r="X225" s="27">
        <v>2.0</v>
      </c>
      <c r="Y225" s="27">
        <v>0.0</v>
      </c>
      <c r="Z225" s="27">
        <v>0.0</v>
      </c>
      <c r="AA225" s="27">
        <v>0.0</v>
      </c>
      <c r="AC225" s="27">
        <v>517.0</v>
      </c>
      <c r="AD225" s="27">
        <f t="shared" ref="AD225:AK225" si="232">T225/$S$1</f>
        <v>0.008333333333</v>
      </c>
      <c r="AE225" s="27">
        <f t="shared" si="232"/>
        <v>0</v>
      </c>
      <c r="AF225" s="27">
        <f t="shared" si="232"/>
        <v>0</v>
      </c>
      <c r="AG225" s="27">
        <f t="shared" si="232"/>
        <v>0</v>
      </c>
      <c r="AH225" s="27">
        <f t="shared" si="232"/>
        <v>0.008333333333</v>
      </c>
      <c r="AI225" s="27">
        <f t="shared" si="232"/>
        <v>0</v>
      </c>
      <c r="AJ225" s="27">
        <f t="shared" si="232"/>
        <v>0</v>
      </c>
      <c r="AK225" s="27">
        <f t="shared" si="232"/>
        <v>0</v>
      </c>
    </row>
    <row r="226" ht="15.75" customHeight="1">
      <c r="A226" s="27">
        <v>120.0</v>
      </c>
      <c r="B226" s="27"/>
      <c r="C226" s="27">
        <f t="shared" si="2"/>
        <v>0</v>
      </c>
      <c r="D226" s="27">
        <v>478.0</v>
      </c>
      <c r="E226" s="27">
        <f t="shared" si="3"/>
        <v>0</v>
      </c>
      <c r="G226" s="27">
        <f t="shared" si="4"/>
        <v>0</v>
      </c>
      <c r="I226" s="27">
        <f t="shared" si="5"/>
        <v>0</v>
      </c>
      <c r="J226" s="27">
        <v>116.0</v>
      </c>
      <c r="K226" s="27">
        <f t="shared" si="6"/>
        <v>0</v>
      </c>
      <c r="L226" s="27">
        <v>330.0</v>
      </c>
      <c r="M226" s="27">
        <f t="shared" si="7"/>
        <v>0</v>
      </c>
      <c r="O226" s="27">
        <f t="shared" si="8"/>
        <v>0</v>
      </c>
      <c r="Q226" s="27">
        <f t="shared" si="9"/>
        <v>0</v>
      </c>
      <c r="S226" s="27">
        <v>519.0</v>
      </c>
      <c r="T226" s="27">
        <v>1.0</v>
      </c>
      <c r="U226" s="27">
        <v>1.0</v>
      </c>
      <c r="V226" s="27">
        <v>1.0</v>
      </c>
      <c r="W226" s="27">
        <v>0.0</v>
      </c>
      <c r="X226" s="27">
        <v>1.0</v>
      </c>
      <c r="Y226" s="27">
        <v>0.0</v>
      </c>
      <c r="Z226" s="27">
        <v>0.0</v>
      </c>
      <c r="AA226" s="27">
        <v>0.0</v>
      </c>
      <c r="AC226" s="27">
        <v>519.0</v>
      </c>
      <c r="AD226" s="27">
        <f t="shared" ref="AD226:AK226" si="233">T226/$S$1</f>
        <v>0.004166666667</v>
      </c>
      <c r="AE226" s="27">
        <f t="shared" si="233"/>
        <v>0.004166666667</v>
      </c>
      <c r="AF226" s="27">
        <f t="shared" si="233"/>
        <v>0.004166666667</v>
      </c>
      <c r="AG226" s="27">
        <f t="shared" si="233"/>
        <v>0</v>
      </c>
      <c r="AH226" s="27">
        <f t="shared" si="233"/>
        <v>0.004166666667</v>
      </c>
      <c r="AI226" s="27">
        <f t="shared" si="233"/>
        <v>0</v>
      </c>
      <c r="AJ226" s="27">
        <f t="shared" si="233"/>
        <v>0</v>
      </c>
      <c r="AK226" s="27">
        <f t="shared" si="233"/>
        <v>0</v>
      </c>
    </row>
    <row r="227" ht="15.75" customHeight="1">
      <c r="A227" s="27">
        <v>127.0</v>
      </c>
      <c r="B227" s="27"/>
      <c r="C227" s="27">
        <f t="shared" si="2"/>
        <v>0</v>
      </c>
      <c r="D227" s="27">
        <v>313.0</v>
      </c>
      <c r="E227" s="27">
        <f t="shared" si="3"/>
        <v>0</v>
      </c>
      <c r="G227" s="27">
        <f t="shared" si="4"/>
        <v>0</v>
      </c>
      <c r="I227" s="27">
        <f t="shared" si="5"/>
        <v>0</v>
      </c>
      <c r="J227" s="27">
        <v>200.0</v>
      </c>
      <c r="K227" s="27">
        <f t="shared" si="6"/>
        <v>0</v>
      </c>
      <c r="L227" s="27">
        <v>331.0</v>
      </c>
      <c r="M227" s="27">
        <f t="shared" si="7"/>
        <v>0</v>
      </c>
      <c r="O227" s="27">
        <f t="shared" si="8"/>
        <v>0</v>
      </c>
      <c r="Q227" s="27">
        <f t="shared" si="9"/>
        <v>0</v>
      </c>
      <c r="S227" s="27">
        <v>522.0</v>
      </c>
      <c r="T227" s="27">
        <v>1.0</v>
      </c>
      <c r="U227" s="27">
        <v>0.0</v>
      </c>
      <c r="V227" s="27">
        <v>0.0</v>
      </c>
      <c r="W227" s="27">
        <v>0.0</v>
      </c>
      <c r="X227" s="27">
        <v>0.0</v>
      </c>
      <c r="Y227" s="27">
        <v>0.0</v>
      </c>
      <c r="Z227" s="27">
        <v>0.0</v>
      </c>
      <c r="AA227" s="27">
        <v>0.0</v>
      </c>
      <c r="AC227" s="27">
        <v>522.0</v>
      </c>
      <c r="AD227" s="27">
        <f t="shared" ref="AD227:AK227" si="234">T227/$S$1</f>
        <v>0.004166666667</v>
      </c>
      <c r="AE227" s="27">
        <f t="shared" si="234"/>
        <v>0</v>
      </c>
      <c r="AF227" s="27">
        <f t="shared" si="234"/>
        <v>0</v>
      </c>
      <c r="AG227" s="27">
        <f t="shared" si="234"/>
        <v>0</v>
      </c>
      <c r="AH227" s="27">
        <f t="shared" si="234"/>
        <v>0</v>
      </c>
      <c r="AI227" s="27">
        <f t="shared" si="234"/>
        <v>0</v>
      </c>
      <c r="AJ227" s="27">
        <f t="shared" si="234"/>
        <v>0</v>
      </c>
      <c r="AK227" s="27">
        <f t="shared" si="234"/>
        <v>0</v>
      </c>
    </row>
    <row r="228" ht="15.75" customHeight="1">
      <c r="A228" s="27">
        <v>227.0</v>
      </c>
      <c r="B228" s="27"/>
      <c r="C228" s="27">
        <f t="shared" si="2"/>
        <v>0</v>
      </c>
      <c r="D228" s="27">
        <v>1.0</v>
      </c>
      <c r="E228" s="27">
        <f t="shared" si="3"/>
        <v>0</v>
      </c>
      <c r="G228" s="27">
        <f t="shared" si="4"/>
        <v>0</v>
      </c>
      <c r="I228" s="27">
        <f t="shared" si="5"/>
        <v>0</v>
      </c>
      <c r="J228" s="27">
        <v>455.0</v>
      </c>
      <c r="K228" s="27">
        <f t="shared" si="6"/>
        <v>0</v>
      </c>
      <c r="L228" s="27">
        <v>332.0</v>
      </c>
      <c r="M228" s="27">
        <f t="shared" si="7"/>
        <v>0</v>
      </c>
      <c r="O228" s="27">
        <f t="shared" si="8"/>
        <v>0</v>
      </c>
      <c r="Q228" s="27">
        <f t="shared" si="9"/>
        <v>0</v>
      </c>
      <c r="S228" s="27">
        <v>523.0</v>
      </c>
      <c r="T228" s="27">
        <v>1.0</v>
      </c>
      <c r="U228" s="27">
        <v>0.0</v>
      </c>
      <c r="V228" s="27">
        <v>1.0</v>
      </c>
      <c r="W228" s="27">
        <v>0.0</v>
      </c>
      <c r="X228" s="27">
        <v>1.0</v>
      </c>
      <c r="Y228" s="27">
        <v>0.0</v>
      </c>
      <c r="Z228" s="27">
        <v>0.0</v>
      </c>
      <c r="AA228" s="27">
        <v>0.0</v>
      </c>
      <c r="AC228" s="27">
        <v>523.0</v>
      </c>
      <c r="AD228" s="27">
        <f t="shared" ref="AD228:AK228" si="235">T228/$S$1</f>
        <v>0.004166666667</v>
      </c>
      <c r="AE228" s="27">
        <f t="shared" si="235"/>
        <v>0</v>
      </c>
      <c r="AF228" s="27">
        <f t="shared" si="235"/>
        <v>0.004166666667</v>
      </c>
      <c r="AG228" s="27">
        <f t="shared" si="235"/>
        <v>0</v>
      </c>
      <c r="AH228" s="27">
        <f t="shared" si="235"/>
        <v>0.004166666667</v>
      </c>
      <c r="AI228" s="27">
        <f t="shared" si="235"/>
        <v>0</v>
      </c>
      <c r="AJ228" s="27">
        <f t="shared" si="235"/>
        <v>0</v>
      </c>
      <c r="AK228" s="27">
        <f t="shared" si="235"/>
        <v>0</v>
      </c>
    </row>
    <row r="229" ht="15.75" customHeight="1">
      <c r="A229" s="27">
        <v>127.0</v>
      </c>
      <c r="B229" s="27"/>
      <c r="C229" s="27">
        <f t="shared" si="2"/>
        <v>0</v>
      </c>
      <c r="D229" s="27">
        <v>487.0</v>
      </c>
      <c r="E229" s="27">
        <f t="shared" si="3"/>
        <v>0</v>
      </c>
      <c r="G229" s="27">
        <f t="shared" si="4"/>
        <v>0</v>
      </c>
      <c r="I229" s="27">
        <f t="shared" si="5"/>
        <v>0</v>
      </c>
      <c r="J229" s="27">
        <v>313.0</v>
      </c>
      <c r="K229" s="27">
        <f t="shared" si="6"/>
        <v>0</v>
      </c>
      <c r="L229" s="27">
        <v>334.0</v>
      </c>
      <c r="M229" s="27">
        <f t="shared" si="7"/>
        <v>0</v>
      </c>
      <c r="O229" s="27">
        <f t="shared" si="8"/>
        <v>0</v>
      </c>
      <c r="Q229" s="27">
        <f t="shared" si="9"/>
        <v>0</v>
      </c>
      <c r="S229" s="27">
        <v>524.0</v>
      </c>
      <c r="T229" s="27">
        <v>1.0</v>
      </c>
      <c r="U229" s="27">
        <v>0.0</v>
      </c>
      <c r="V229" s="27">
        <v>0.0</v>
      </c>
      <c r="W229" s="27">
        <v>0.0</v>
      </c>
      <c r="X229" s="27">
        <v>0.0</v>
      </c>
      <c r="Y229" s="27">
        <v>1.0</v>
      </c>
      <c r="Z229" s="27">
        <v>0.0</v>
      </c>
      <c r="AA229" s="27">
        <v>0.0</v>
      </c>
      <c r="AC229" s="27">
        <v>524.0</v>
      </c>
      <c r="AD229" s="27">
        <f t="shared" ref="AD229:AK229" si="236">T229/$S$1</f>
        <v>0.004166666667</v>
      </c>
      <c r="AE229" s="27">
        <f t="shared" si="236"/>
        <v>0</v>
      </c>
      <c r="AF229" s="27">
        <f t="shared" si="236"/>
        <v>0</v>
      </c>
      <c r="AG229" s="27">
        <f t="shared" si="236"/>
        <v>0</v>
      </c>
      <c r="AH229" s="27">
        <f t="shared" si="236"/>
        <v>0</v>
      </c>
      <c r="AI229" s="27">
        <f t="shared" si="236"/>
        <v>0.004166666667</v>
      </c>
      <c r="AJ229" s="27">
        <f t="shared" si="236"/>
        <v>0</v>
      </c>
      <c r="AK229" s="27">
        <f t="shared" si="236"/>
        <v>0</v>
      </c>
    </row>
    <row r="230" ht="15.75" customHeight="1">
      <c r="A230" s="27">
        <v>127.0</v>
      </c>
      <c r="B230" s="27"/>
      <c r="C230" s="27">
        <f t="shared" si="2"/>
        <v>0</v>
      </c>
      <c r="D230" s="27">
        <v>340.0</v>
      </c>
      <c r="E230" s="27">
        <f t="shared" si="3"/>
        <v>0</v>
      </c>
      <c r="G230" s="27">
        <f t="shared" si="4"/>
        <v>0</v>
      </c>
      <c r="I230" s="27">
        <f t="shared" si="5"/>
        <v>0</v>
      </c>
      <c r="J230" s="27">
        <v>296.0</v>
      </c>
      <c r="K230" s="27">
        <f t="shared" si="6"/>
        <v>0</v>
      </c>
      <c r="L230" s="27">
        <v>335.0</v>
      </c>
      <c r="M230" s="27">
        <f t="shared" si="7"/>
        <v>0</v>
      </c>
      <c r="O230" s="27">
        <f t="shared" si="8"/>
        <v>0</v>
      </c>
      <c r="Q230" s="27">
        <f t="shared" si="9"/>
        <v>0</v>
      </c>
      <c r="S230" s="27">
        <v>526.0</v>
      </c>
      <c r="T230" s="27">
        <v>1.0</v>
      </c>
      <c r="U230" s="27">
        <v>0.0</v>
      </c>
      <c r="V230" s="27">
        <v>1.0</v>
      </c>
      <c r="W230" s="27">
        <v>0.0</v>
      </c>
      <c r="X230" s="27">
        <v>1.0</v>
      </c>
      <c r="Y230" s="27">
        <v>0.0</v>
      </c>
      <c r="Z230" s="27">
        <v>0.0</v>
      </c>
      <c r="AA230" s="27">
        <v>0.0</v>
      </c>
      <c r="AC230" s="27">
        <v>526.0</v>
      </c>
      <c r="AD230" s="27">
        <f t="shared" ref="AD230:AK230" si="237">T230/$S$1</f>
        <v>0.004166666667</v>
      </c>
      <c r="AE230" s="27">
        <f t="shared" si="237"/>
        <v>0</v>
      </c>
      <c r="AF230" s="27">
        <f t="shared" si="237"/>
        <v>0.004166666667</v>
      </c>
      <c r="AG230" s="27">
        <f t="shared" si="237"/>
        <v>0</v>
      </c>
      <c r="AH230" s="27">
        <f t="shared" si="237"/>
        <v>0.004166666667</v>
      </c>
      <c r="AI230" s="27">
        <f t="shared" si="237"/>
        <v>0</v>
      </c>
      <c r="AJ230" s="27">
        <f t="shared" si="237"/>
        <v>0</v>
      </c>
      <c r="AK230" s="27">
        <f t="shared" si="237"/>
        <v>0</v>
      </c>
    </row>
    <row r="231" ht="15.75" customHeight="1">
      <c r="A231" s="27">
        <v>130.0</v>
      </c>
      <c r="B231" s="27"/>
      <c r="C231" s="27">
        <f t="shared" si="2"/>
        <v>0</v>
      </c>
      <c r="D231" s="27">
        <v>340.0</v>
      </c>
      <c r="E231" s="27">
        <f t="shared" si="3"/>
        <v>0</v>
      </c>
      <c r="G231" s="27">
        <f t="shared" si="4"/>
        <v>0</v>
      </c>
      <c r="I231" s="27">
        <f t="shared" si="5"/>
        <v>0</v>
      </c>
      <c r="J231" s="27">
        <v>459.0</v>
      </c>
      <c r="K231" s="27">
        <f t="shared" si="6"/>
        <v>0</v>
      </c>
      <c r="L231" s="27">
        <v>330.0</v>
      </c>
      <c r="M231" s="27">
        <f t="shared" si="7"/>
        <v>0</v>
      </c>
      <c r="O231" s="27">
        <f t="shared" si="8"/>
        <v>0</v>
      </c>
      <c r="Q231" s="27">
        <f t="shared" si="9"/>
        <v>0</v>
      </c>
      <c r="S231" s="27">
        <v>530.0</v>
      </c>
      <c r="T231" s="27">
        <v>1.0</v>
      </c>
      <c r="U231" s="27">
        <v>0.0</v>
      </c>
      <c r="V231" s="27">
        <v>0.0</v>
      </c>
      <c r="W231" s="27">
        <v>0.0</v>
      </c>
      <c r="X231" s="27">
        <v>1.0</v>
      </c>
      <c r="Y231" s="27">
        <v>1.0</v>
      </c>
      <c r="Z231" s="27">
        <v>0.0</v>
      </c>
      <c r="AA231" s="27">
        <v>1.0</v>
      </c>
      <c r="AC231" s="27">
        <v>530.0</v>
      </c>
      <c r="AD231" s="27">
        <f t="shared" ref="AD231:AK231" si="238">T231/$S$1</f>
        <v>0.004166666667</v>
      </c>
      <c r="AE231" s="27">
        <f t="shared" si="238"/>
        <v>0</v>
      </c>
      <c r="AF231" s="27">
        <f t="shared" si="238"/>
        <v>0</v>
      </c>
      <c r="AG231" s="27">
        <f t="shared" si="238"/>
        <v>0</v>
      </c>
      <c r="AH231" s="27">
        <f t="shared" si="238"/>
        <v>0.004166666667</v>
      </c>
      <c r="AI231" s="27">
        <f t="shared" si="238"/>
        <v>0.004166666667</v>
      </c>
      <c r="AJ231" s="27">
        <f t="shared" si="238"/>
        <v>0</v>
      </c>
      <c r="AK231" s="27">
        <f t="shared" si="238"/>
        <v>0.004166666667</v>
      </c>
    </row>
    <row r="232" ht="15.75" customHeight="1">
      <c r="A232" s="27">
        <v>127.0</v>
      </c>
      <c r="B232" s="27"/>
      <c r="C232" s="27">
        <f t="shared" si="2"/>
        <v>0</v>
      </c>
      <c r="D232" s="27">
        <v>294.0</v>
      </c>
      <c r="E232" s="27">
        <f t="shared" si="3"/>
        <v>0</v>
      </c>
      <c r="G232" s="27">
        <f t="shared" si="4"/>
        <v>0</v>
      </c>
      <c r="I232" s="27">
        <f t="shared" si="5"/>
        <v>0</v>
      </c>
      <c r="J232" s="27">
        <v>284.0</v>
      </c>
      <c r="K232" s="27">
        <f t="shared" si="6"/>
        <v>0</v>
      </c>
      <c r="L232" s="27">
        <v>127.0</v>
      </c>
      <c r="M232" s="27">
        <f t="shared" si="7"/>
        <v>0</v>
      </c>
      <c r="O232" s="27">
        <f t="shared" si="8"/>
        <v>0</v>
      </c>
      <c r="Q232" s="27">
        <f t="shared" si="9"/>
        <v>0</v>
      </c>
      <c r="S232" s="27">
        <v>536.0</v>
      </c>
      <c r="T232" s="27">
        <v>2.0</v>
      </c>
      <c r="U232" s="27">
        <v>0.0</v>
      </c>
      <c r="V232" s="27">
        <v>2.0</v>
      </c>
      <c r="W232" s="27">
        <v>0.0</v>
      </c>
      <c r="X232" s="27">
        <v>1.0</v>
      </c>
      <c r="Y232" s="27">
        <v>0.0</v>
      </c>
      <c r="Z232" s="27">
        <v>0.0</v>
      </c>
      <c r="AA232" s="27">
        <v>0.0</v>
      </c>
      <c r="AC232" s="27">
        <v>536.0</v>
      </c>
      <c r="AD232" s="27">
        <f t="shared" ref="AD232:AK232" si="239">T232/$S$1</f>
        <v>0.008333333333</v>
      </c>
      <c r="AE232" s="27">
        <f t="shared" si="239"/>
        <v>0</v>
      </c>
      <c r="AF232" s="27">
        <f t="shared" si="239"/>
        <v>0.008333333333</v>
      </c>
      <c r="AG232" s="27">
        <f t="shared" si="239"/>
        <v>0</v>
      </c>
      <c r="AH232" s="27">
        <f t="shared" si="239"/>
        <v>0.004166666667</v>
      </c>
      <c r="AI232" s="27">
        <f t="shared" si="239"/>
        <v>0</v>
      </c>
      <c r="AJ232" s="27">
        <f t="shared" si="239"/>
        <v>0</v>
      </c>
      <c r="AK232" s="27">
        <f t="shared" si="239"/>
        <v>0</v>
      </c>
    </row>
    <row r="233" ht="15.75" customHeight="1">
      <c r="A233" s="27">
        <v>232.0</v>
      </c>
      <c r="B233" s="27"/>
      <c r="C233" s="27">
        <f t="shared" si="2"/>
        <v>0</v>
      </c>
      <c r="D233" s="27">
        <v>313.0</v>
      </c>
      <c r="E233" s="27">
        <f t="shared" si="3"/>
        <v>0</v>
      </c>
      <c r="G233" s="27">
        <f t="shared" si="4"/>
        <v>0</v>
      </c>
      <c r="I233" s="27">
        <f t="shared" si="5"/>
        <v>0</v>
      </c>
      <c r="J233" s="27">
        <v>468.0</v>
      </c>
      <c r="K233" s="27">
        <f t="shared" si="6"/>
        <v>0</v>
      </c>
      <c r="L233" s="27">
        <v>145.0</v>
      </c>
      <c r="M233" s="27">
        <f t="shared" si="7"/>
        <v>0</v>
      </c>
      <c r="O233" s="27">
        <f t="shared" si="8"/>
        <v>0</v>
      </c>
      <c r="Q233" s="27">
        <f t="shared" si="9"/>
        <v>0</v>
      </c>
      <c r="S233" s="27">
        <v>545.0</v>
      </c>
      <c r="T233" s="27">
        <v>1.0</v>
      </c>
      <c r="U233" s="27">
        <v>1.0</v>
      </c>
      <c r="V233" s="27">
        <v>1.0</v>
      </c>
      <c r="W233" s="27">
        <v>0.0</v>
      </c>
      <c r="X233" s="27">
        <v>0.0</v>
      </c>
      <c r="Y233" s="27">
        <v>0.0</v>
      </c>
      <c r="Z233" s="27">
        <v>0.0</v>
      </c>
      <c r="AA233" s="27">
        <v>0.0</v>
      </c>
      <c r="AC233" s="27">
        <v>545.0</v>
      </c>
      <c r="AD233" s="27">
        <f t="shared" ref="AD233:AK233" si="240">T233/$S$1</f>
        <v>0.004166666667</v>
      </c>
      <c r="AE233" s="27">
        <f t="shared" si="240"/>
        <v>0.004166666667</v>
      </c>
      <c r="AF233" s="27">
        <f t="shared" si="240"/>
        <v>0.004166666667</v>
      </c>
      <c r="AG233" s="27">
        <f t="shared" si="240"/>
        <v>0</v>
      </c>
      <c r="AH233" s="27">
        <f t="shared" si="240"/>
        <v>0</v>
      </c>
      <c r="AI233" s="27">
        <f t="shared" si="240"/>
        <v>0</v>
      </c>
      <c r="AJ233" s="27">
        <f t="shared" si="240"/>
        <v>0</v>
      </c>
      <c r="AK233" s="27">
        <f t="shared" si="240"/>
        <v>0</v>
      </c>
    </row>
    <row r="234" ht="15.75" customHeight="1">
      <c r="A234" s="27">
        <v>233.0</v>
      </c>
      <c r="B234" s="27"/>
      <c r="C234" s="27">
        <f t="shared" si="2"/>
        <v>0</v>
      </c>
      <c r="D234" s="27">
        <v>269.0</v>
      </c>
      <c r="E234" s="27">
        <f t="shared" si="3"/>
        <v>0</v>
      </c>
      <c r="G234" s="27">
        <f t="shared" si="4"/>
        <v>0</v>
      </c>
      <c r="I234" s="27">
        <f t="shared" si="5"/>
        <v>0</v>
      </c>
      <c r="J234" s="27">
        <v>81.0</v>
      </c>
      <c r="K234" s="27">
        <f t="shared" si="6"/>
        <v>0</v>
      </c>
      <c r="L234" s="27">
        <v>342.0</v>
      </c>
      <c r="M234" s="27">
        <f t="shared" si="7"/>
        <v>0</v>
      </c>
      <c r="O234" s="27">
        <f t="shared" si="8"/>
        <v>0</v>
      </c>
      <c r="Q234" s="27">
        <f t="shared" si="9"/>
        <v>0</v>
      </c>
      <c r="S234" s="27">
        <v>546.0</v>
      </c>
      <c r="T234" s="27">
        <v>1.0</v>
      </c>
      <c r="U234" s="27">
        <v>0.0</v>
      </c>
      <c r="V234" s="27">
        <v>0.0</v>
      </c>
      <c r="W234" s="27">
        <v>0.0</v>
      </c>
      <c r="X234" s="27">
        <v>0.0</v>
      </c>
      <c r="Y234" s="27">
        <v>0.0</v>
      </c>
      <c r="Z234" s="27">
        <v>0.0</v>
      </c>
      <c r="AA234" s="27">
        <v>0.0</v>
      </c>
      <c r="AC234" s="27">
        <v>546.0</v>
      </c>
      <c r="AD234" s="27">
        <f t="shared" ref="AD234:AK234" si="241">T234/$S$1</f>
        <v>0.004166666667</v>
      </c>
      <c r="AE234" s="27">
        <f t="shared" si="241"/>
        <v>0</v>
      </c>
      <c r="AF234" s="27">
        <f t="shared" si="241"/>
        <v>0</v>
      </c>
      <c r="AG234" s="27">
        <f t="shared" si="241"/>
        <v>0</v>
      </c>
      <c r="AH234" s="27">
        <f t="shared" si="241"/>
        <v>0</v>
      </c>
      <c r="AI234" s="27">
        <f t="shared" si="241"/>
        <v>0</v>
      </c>
      <c r="AJ234" s="27">
        <f t="shared" si="241"/>
        <v>0</v>
      </c>
      <c r="AK234" s="27">
        <f t="shared" si="241"/>
        <v>0</v>
      </c>
    </row>
    <row r="235" ht="15.75" customHeight="1">
      <c r="A235" s="27">
        <v>233.0</v>
      </c>
      <c r="B235" s="27"/>
      <c r="C235" s="27">
        <f t="shared" si="2"/>
        <v>0</v>
      </c>
      <c r="D235" s="27">
        <v>118.0</v>
      </c>
      <c r="E235" s="27">
        <f t="shared" si="3"/>
        <v>0</v>
      </c>
      <c r="G235" s="27">
        <f t="shared" si="4"/>
        <v>0</v>
      </c>
      <c r="I235" s="27">
        <f t="shared" si="5"/>
        <v>0</v>
      </c>
      <c r="J235" s="27">
        <v>319.0</v>
      </c>
      <c r="K235" s="27">
        <f t="shared" si="6"/>
        <v>0</v>
      </c>
      <c r="L235" s="27">
        <v>345.0</v>
      </c>
      <c r="M235" s="27">
        <f t="shared" si="7"/>
        <v>0</v>
      </c>
      <c r="O235" s="27">
        <f t="shared" si="8"/>
        <v>0</v>
      </c>
      <c r="Q235" s="27">
        <f t="shared" si="9"/>
        <v>0</v>
      </c>
      <c r="S235" s="27">
        <v>560.0</v>
      </c>
      <c r="T235" s="27">
        <v>1.0</v>
      </c>
      <c r="U235" s="27">
        <v>0.0</v>
      </c>
      <c r="V235" s="27">
        <v>0.0</v>
      </c>
      <c r="W235" s="27">
        <v>0.0</v>
      </c>
      <c r="X235" s="27">
        <v>0.0</v>
      </c>
      <c r="Y235" s="27">
        <v>0.0</v>
      </c>
      <c r="Z235" s="27">
        <v>0.0</v>
      </c>
      <c r="AA235" s="27">
        <v>0.0</v>
      </c>
      <c r="AC235" s="27">
        <v>560.0</v>
      </c>
      <c r="AD235" s="27">
        <f t="shared" ref="AD235:AK235" si="242">T235/$S$1</f>
        <v>0.004166666667</v>
      </c>
      <c r="AE235" s="27">
        <f t="shared" si="242"/>
        <v>0</v>
      </c>
      <c r="AF235" s="27">
        <f t="shared" si="242"/>
        <v>0</v>
      </c>
      <c r="AG235" s="27">
        <f t="shared" si="242"/>
        <v>0</v>
      </c>
      <c r="AH235" s="27">
        <f t="shared" si="242"/>
        <v>0</v>
      </c>
      <c r="AI235" s="27">
        <f t="shared" si="242"/>
        <v>0</v>
      </c>
      <c r="AJ235" s="27">
        <f t="shared" si="242"/>
        <v>0</v>
      </c>
      <c r="AK235" s="27">
        <f t="shared" si="242"/>
        <v>0</v>
      </c>
    </row>
    <row r="236" ht="15.75" customHeight="1">
      <c r="A236" s="27">
        <v>195.0</v>
      </c>
      <c r="B236" s="27"/>
      <c r="C236" s="27">
        <f t="shared" si="2"/>
        <v>0</v>
      </c>
      <c r="D236" s="27">
        <v>337.0</v>
      </c>
      <c r="E236" s="27">
        <f t="shared" si="3"/>
        <v>0</v>
      </c>
      <c r="G236" s="27">
        <f t="shared" si="4"/>
        <v>0</v>
      </c>
      <c r="I236" s="27">
        <f t="shared" si="5"/>
        <v>0</v>
      </c>
      <c r="J236" s="27">
        <v>148.0</v>
      </c>
      <c r="K236" s="27">
        <f t="shared" si="6"/>
        <v>0</v>
      </c>
      <c r="L236" s="27">
        <v>346.0</v>
      </c>
      <c r="M236" s="27">
        <f t="shared" si="7"/>
        <v>0</v>
      </c>
      <c r="O236" s="27">
        <f t="shared" si="8"/>
        <v>0</v>
      </c>
      <c r="Q236" s="27">
        <f t="shared" si="9"/>
        <v>0</v>
      </c>
      <c r="S236" s="27">
        <v>561.0</v>
      </c>
      <c r="T236" s="27">
        <v>1.0</v>
      </c>
      <c r="U236" s="27">
        <v>1.0</v>
      </c>
      <c r="V236" s="27">
        <v>1.0</v>
      </c>
      <c r="W236" s="27">
        <v>0.0</v>
      </c>
      <c r="X236" s="27">
        <v>0.0</v>
      </c>
      <c r="Y236" s="27">
        <v>0.0</v>
      </c>
      <c r="Z236" s="27">
        <v>0.0</v>
      </c>
      <c r="AA236" s="27">
        <v>0.0</v>
      </c>
      <c r="AC236" s="27">
        <v>561.0</v>
      </c>
      <c r="AD236" s="27">
        <f t="shared" ref="AD236:AK236" si="243">T236/$S$1</f>
        <v>0.004166666667</v>
      </c>
      <c r="AE236" s="27">
        <f t="shared" si="243"/>
        <v>0.004166666667</v>
      </c>
      <c r="AF236" s="27">
        <f t="shared" si="243"/>
        <v>0.004166666667</v>
      </c>
      <c r="AG236" s="27">
        <f t="shared" si="243"/>
        <v>0</v>
      </c>
      <c r="AH236" s="27">
        <f t="shared" si="243"/>
        <v>0</v>
      </c>
      <c r="AI236" s="27">
        <f t="shared" si="243"/>
        <v>0</v>
      </c>
      <c r="AJ236" s="27">
        <f t="shared" si="243"/>
        <v>0</v>
      </c>
      <c r="AK236" s="27">
        <f t="shared" si="243"/>
        <v>0</v>
      </c>
    </row>
    <row r="237" ht="15.75" customHeight="1">
      <c r="A237" s="27">
        <v>148.0</v>
      </c>
      <c r="B237" s="27"/>
      <c r="C237" s="27">
        <f t="shared" si="2"/>
        <v>0</v>
      </c>
      <c r="D237" s="27">
        <v>505.0</v>
      </c>
      <c r="E237" s="27">
        <f t="shared" si="3"/>
        <v>0</v>
      </c>
      <c r="G237" s="27">
        <f t="shared" si="4"/>
        <v>0</v>
      </c>
      <c r="I237" s="27">
        <f t="shared" si="5"/>
        <v>0</v>
      </c>
      <c r="J237" s="27">
        <v>340.0</v>
      </c>
      <c r="K237" s="27">
        <f t="shared" si="6"/>
        <v>0</v>
      </c>
      <c r="L237" s="27">
        <v>347.0</v>
      </c>
      <c r="M237" s="27">
        <f t="shared" si="7"/>
        <v>0</v>
      </c>
      <c r="O237" s="27">
        <f t="shared" si="8"/>
        <v>0</v>
      </c>
      <c r="Q237" s="27">
        <f t="shared" si="9"/>
        <v>0</v>
      </c>
      <c r="S237" s="27">
        <v>562.0</v>
      </c>
      <c r="T237" s="27">
        <v>1.0</v>
      </c>
      <c r="U237" s="27">
        <v>0.0</v>
      </c>
      <c r="V237" s="27">
        <v>1.0</v>
      </c>
      <c r="W237" s="27">
        <v>0.0</v>
      </c>
      <c r="X237" s="27">
        <v>1.0</v>
      </c>
      <c r="Y237" s="27">
        <v>1.0</v>
      </c>
      <c r="Z237" s="27">
        <v>0.0</v>
      </c>
      <c r="AA237" s="27">
        <v>0.0</v>
      </c>
      <c r="AC237" s="27">
        <v>562.0</v>
      </c>
      <c r="AD237" s="27">
        <f t="shared" ref="AD237:AK237" si="244">T237/$S$1</f>
        <v>0.004166666667</v>
      </c>
      <c r="AE237" s="27">
        <f t="shared" si="244"/>
        <v>0</v>
      </c>
      <c r="AF237" s="27">
        <f t="shared" si="244"/>
        <v>0.004166666667</v>
      </c>
      <c r="AG237" s="27">
        <f t="shared" si="244"/>
        <v>0</v>
      </c>
      <c r="AH237" s="27">
        <f t="shared" si="244"/>
        <v>0.004166666667</v>
      </c>
      <c r="AI237" s="27">
        <f t="shared" si="244"/>
        <v>0.004166666667</v>
      </c>
      <c r="AJ237" s="27">
        <f t="shared" si="244"/>
        <v>0</v>
      </c>
      <c r="AK237" s="27">
        <f t="shared" si="244"/>
        <v>0</v>
      </c>
    </row>
    <row r="238" ht="15.75" customHeight="1">
      <c r="A238" s="27">
        <v>237.0</v>
      </c>
      <c r="B238" s="27"/>
      <c r="C238" s="27">
        <f t="shared" si="2"/>
        <v>0</v>
      </c>
      <c r="D238" s="27">
        <v>313.0</v>
      </c>
      <c r="E238" s="27">
        <f t="shared" si="3"/>
        <v>0</v>
      </c>
      <c r="G238" s="27">
        <f t="shared" si="4"/>
        <v>0</v>
      </c>
      <c r="I238" s="27">
        <f t="shared" si="5"/>
        <v>0</v>
      </c>
      <c r="J238" s="27">
        <v>478.0</v>
      </c>
      <c r="K238" s="27">
        <f t="shared" si="6"/>
        <v>0</v>
      </c>
      <c r="L238" s="27">
        <v>120.0</v>
      </c>
      <c r="M238" s="27">
        <f t="shared" si="7"/>
        <v>0</v>
      </c>
      <c r="O238" s="27">
        <f t="shared" si="8"/>
        <v>0</v>
      </c>
      <c r="Q238" s="27">
        <f t="shared" si="9"/>
        <v>0</v>
      </c>
      <c r="S238" s="27">
        <v>566.0</v>
      </c>
      <c r="T238" s="27">
        <v>1.0</v>
      </c>
      <c r="U238" s="27">
        <v>0.0</v>
      </c>
      <c r="V238" s="27">
        <v>1.0</v>
      </c>
      <c r="W238" s="27">
        <v>0.0</v>
      </c>
      <c r="X238" s="27">
        <v>1.0</v>
      </c>
      <c r="Y238" s="27">
        <v>0.0</v>
      </c>
      <c r="Z238" s="27">
        <v>0.0</v>
      </c>
      <c r="AA238" s="27">
        <v>0.0</v>
      </c>
      <c r="AC238" s="27">
        <v>566.0</v>
      </c>
      <c r="AD238" s="27">
        <f t="shared" ref="AD238:AK238" si="245">T238/$S$1</f>
        <v>0.004166666667</v>
      </c>
      <c r="AE238" s="27">
        <f t="shared" si="245"/>
        <v>0</v>
      </c>
      <c r="AF238" s="27">
        <f t="shared" si="245"/>
        <v>0.004166666667</v>
      </c>
      <c r="AG238" s="27">
        <f t="shared" si="245"/>
        <v>0</v>
      </c>
      <c r="AH238" s="27">
        <f t="shared" si="245"/>
        <v>0.004166666667</v>
      </c>
      <c r="AI238" s="27">
        <f t="shared" si="245"/>
        <v>0</v>
      </c>
      <c r="AJ238" s="27">
        <f t="shared" si="245"/>
        <v>0</v>
      </c>
      <c r="AK238" s="27">
        <f t="shared" si="245"/>
        <v>0</v>
      </c>
    </row>
    <row r="239" ht="15.75" customHeight="1">
      <c r="A239" s="27">
        <v>220.0</v>
      </c>
      <c r="B239" s="27"/>
      <c r="C239" s="27">
        <f t="shared" si="2"/>
        <v>0</v>
      </c>
      <c r="D239" s="27">
        <v>340.0</v>
      </c>
      <c r="E239" s="27">
        <f t="shared" si="3"/>
        <v>0</v>
      </c>
      <c r="G239" s="27">
        <f t="shared" si="4"/>
        <v>0</v>
      </c>
      <c r="I239" s="27">
        <f t="shared" si="5"/>
        <v>0</v>
      </c>
      <c r="J239" s="27">
        <v>385.0</v>
      </c>
      <c r="K239" s="27">
        <f t="shared" si="6"/>
        <v>0</v>
      </c>
      <c r="L239" s="27">
        <v>350.0</v>
      </c>
      <c r="M239" s="27">
        <f t="shared" si="7"/>
        <v>0</v>
      </c>
      <c r="O239" s="27">
        <f t="shared" si="8"/>
        <v>0</v>
      </c>
      <c r="Q239" s="27">
        <f t="shared" si="9"/>
        <v>0</v>
      </c>
      <c r="S239" s="27">
        <v>567.0</v>
      </c>
      <c r="T239" s="27">
        <v>1.0</v>
      </c>
      <c r="U239" s="27">
        <v>0.0</v>
      </c>
      <c r="V239" s="27">
        <v>0.0</v>
      </c>
      <c r="W239" s="27">
        <v>0.0</v>
      </c>
      <c r="X239" s="27">
        <v>0.0</v>
      </c>
      <c r="Y239" s="27">
        <v>0.0</v>
      </c>
      <c r="Z239" s="27">
        <v>0.0</v>
      </c>
      <c r="AA239" s="27">
        <v>0.0</v>
      </c>
      <c r="AC239" s="27">
        <v>567.0</v>
      </c>
      <c r="AD239" s="27">
        <f t="shared" ref="AD239:AK239" si="246">T239/$S$1</f>
        <v>0.004166666667</v>
      </c>
      <c r="AE239" s="27">
        <f t="shared" si="246"/>
        <v>0</v>
      </c>
      <c r="AF239" s="27">
        <f t="shared" si="246"/>
        <v>0</v>
      </c>
      <c r="AG239" s="27">
        <f t="shared" si="246"/>
        <v>0</v>
      </c>
      <c r="AH239" s="27">
        <f t="shared" si="246"/>
        <v>0</v>
      </c>
      <c r="AI239" s="27">
        <f t="shared" si="246"/>
        <v>0</v>
      </c>
      <c r="AJ239" s="27">
        <f t="shared" si="246"/>
        <v>0</v>
      </c>
      <c r="AK239" s="27">
        <f t="shared" si="246"/>
        <v>0</v>
      </c>
    </row>
    <row r="240" ht="15.75" customHeight="1">
      <c r="A240" s="27">
        <v>239.0</v>
      </c>
      <c r="B240" s="27"/>
      <c r="C240" s="27">
        <f t="shared" si="2"/>
        <v>0</v>
      </c>
      <c r="D240" s="27">
        <v>511.0</v>
      </c>
      <c r="E240" s="27">
        <f t="shared" si="3"/>
        <v>0</v>
      </c>
      <c r="G240" s="27">
        <f t="shared" si="4"/>
        <v>0</v>
      </c>
      <c r="I240" s="27">
        <f t="shared" si="5"/>
        <v>0</v>
      </c>
      <c r="J240" s="27">
        <v>378.0</v>
      </c>
      <c r="K240" s="27">
        <f t="shared" si="6"/>
        <v>0</v>
      </c>
      <c r="L240" s="27">
        <v>352.0</v>
      </c>
      <c r="M240" s="27">
        <f t="shared" si="7"/>
        <v>0</v>
      </c>
      <c r="O240" s="27">
        <f t="shared" si="8"/>
        <v>0</v>
      </c>
      <c r="Q240" s="27">
        <f t="shared" si="9"/>
        <v>0</v>
      </c>
      <c r="S240" s="27">
        <v>570.0</v>
      </c>
      <c r="T240" s="27">
        <v>1.0</v>
      </c>
      <c r="U240" s="27">
        <v>0.0</v>
      </c>
      <c r="V240" s="27">
        <v>0.0</v>
      </c>
      <c r="W240" s="27">
        <v>0.0</v>
      </c>
      <c r="X240" s="27">
        <v>1.0</v>
      </c>
      <c r="Y240" s="27">
        <v>0.0</v>
      </c>
      <c r="Z240" s="27">
        <v>0.0</v>
      </c>
      <c r="AA240" s="27">
        <v>0.0</v>
      </c>
      <c r="AC240" s="27">
        <v>570.0</v>
      </c>
      <c r="AD240" s="27">
        <f t="shared" ref="AD240:AK240" si="247">T240/$S$1</f>
        <v>0.004166666667</v>
      </c>
      <c r="AE240" s="27">
        <f t="shared" si="247"/>
        <v>0</v>
      </c>
      <c r="AF240" s="27">
        <f t="shared" si="247"/>
        <v>0</v>
      </c>
      <c r="AG240" s="27">
        <f t="shared" si="247"/>
        <v>0</v>
      </c>
      <c r="AH240" s="27">
        <f t="shared" si="247"/>
        <v>0.004166666667</v>
      </c>
      <c r="AI240" s="27">
        <f t="shared" si="247"/>
        <v>0</v>
      </c>
      <c r="AJ240" s="27">
        <f t="shared" si="247"/>
        <v>0</v>
      </c>
      <c r="AK240" s="27">
        <f t="shared" si="247"/>
        <v>0</v>
      </c>
    </row>
    <row r="241" ht="15.75" customHeight="1">
      <c r="A241" s="27">
        <v>66.0</v>
      </c>
      <c r="B241" s="27"/>
      <c r="C241" s="27">
        <f t="shared" si="2"/>
        <v>0</v>
      </c>
      <c r="D241" s="27">
        <v>340.0</v>
      </c>
      <c r="E241" s="27">
        <f t="shared" si="3"/>
        <v>0</v>
      </c>
      <c r="G241" s="27">
        <f t="shared" si="4"/>
        <v>0</v>
      </c>
      <c r="I241" s="27">
        <f t="shared" si="5"/>
        <v>0</v>
      </c>
      <c r="J241" s="27">
        <v>116.0</v>
      </c>
      <c r="K241" s="27">
        <f t="shared" si="6"/>
        <v>0</v>
      </c>
      <c r="L241" s="27">
        <v>353.0</v>
      </c>
      <c r="M241" s="27">
        <f t="shared" si="7"/>
        <v>0</v>
      </c>
      <c r="O241" s="27">
        <f t="shared" si="8"/>
        <v>0</v>
      </c>
      <c r="Q241" s="27">
        <f t="shared" si="9"/>
        <v>0</v>
      </c>
      <c r="S241" s="27">
        <v>572.0</v>
      </c>
      <c r="T241" s="27">
        <v>1.0</v>
      </c>
      <c r="U241" s="27">
        <v>0.0</v>
      </c>
      <c r="V241" s="27">
        <v>1.0</v>
      </c>
      <c r="W241" s="27">
        <v>0.0</v>
      </c>
      <c r="X241" s="27">
        <v>0.0</v>
      </c>
      <c r="Y241" s="27">
        <v>0.0</v>
      </c>
      <c r="Z241" s="27">
        <v>0.0</v>
      </c>
      <c r="AA241" s="27">
        <v>0.0</v>
      </c>
      <c r="AC241" s="27">
        <v>572.0</v>
      </c>
      <c r="AD241" s="27">
        <f t="shared" ref="AD241:AK241" si="248">T241/$S$1</f>
        <v>0.004166666667</v>
      </c>
      <c r="AE241" s="27">
        <f t="shared" si="248"/>
        <v>0</v>
      </c>
      <c r="AF241" s="27">
        <f t="shared" si="248"/>
        <v>0.004166666667</v>
      </c>
      <c r="AG241" s="27">
        <f t="shared" si="248"/>
        <v>0</v>
      </c>
      <c r="AH241" s="27">
        <f t="shared" si="248"/>
        <v>0</v>
      </c>
      <c r="AI241" s="27">
        <f t="shared" si="248"/>
        <v>0</v>
      </c>
      <c r="AJ241" s="27">
        <f t="shared" si="248"/>
        <v>0</v>
      </c>
      <c r="AK241" s="27">
        <f t="shared" si="248"/>
        <v>0</v>
      </c>
    </row>
    <row r="242" ht="15.75" customHeight="1">
      <c r="A242" s="27">
        <v>66.0</v>
      </c>
      <c r="B242" s="27"/>
      <c r="D242" s="27">
        <v>340.0</v>
      </c>
      <c r="J242" s="27">
        <v>483.0</v>
      </c>
      <c r="L242" s="27">
        <v>58.0</v>
      </c>
      <c r="S242" s="27">
        <v>0.0</v>
      </c>
    </row>
    <row r="243" ht="15.75" customHeight="1">
      <c r="A243" s="27">
        <v>58.0</v>
      </c>
      <c r="D243" s="27">
        <v>524.0</v>
      </c>
      <c r="J243" s="27">
        <v>313.0</v>
      </c>
      <c r="L243" s="27">
        <v>356.0</v>
      </c>
    </row>
    <row r="244" ht="15.75" customHeight="1">
      <c r="A244" s="27">
        <v>2.0</v>
      </c>
      <c r="D244" s="27">
        <v>530.0</v>
      </c>
      <c r="J244" s="27">
        <v>1.0</v>
      </c>
      <c r="L244" s="27">
        <v>258.0</v>
      </c>
    </row>
    <row r="245" ht="15.75" customHeight="1">
      <c r="A245" s="27">
        <v>244.0</v>
      </c>
      <c r="D245" s="27">
        <v>340.0</v>
      </c>
      <c r="J245" s="27">
        <v>490.0</v>
      </c>
      <c r="L245" s="27">
        <v>358.0</v>
      </c>
    </row>
    <row r="246" ht="15.75" customHeight="1">
      <c r="A246" s="27">
        <v>24.0</v>
      </c>
      <c r="D246" s="27">
        <v>441.0</v>
      </c>
      <c r="J246" s="27">
        <v>294.0</v>
      </c>
      <c r="L246" s="27">
        <v>250.0</v>
      </c>
    </row>
    <row r="247" ht="15.75" customHeight="1">
      <c r="A247" s="27">
        <v>145.0</v>
      </c>
      <c r="D247" s="27">
        <v>340.0</v>
      </c>
      <c r="J247" s="27">
        <v>313.0</v>
      </c>
      <c r="L247" s="27">
        <v>362.0</v>
      </c>
    </row>
    <row r="248" ht="15.75" customHeight="1">
      <c r="A248" s="27">
        <v>247.0</v>
      </c>
      <c r="D248" s="27">
        <v>444.0</v>
      </c>
      <c r="J248" s="27">
        <v>269.0</v>
      </c>
      <c r="L248" s="27">
        <v>363.0</v>
      </c>
    </row>
    <row r="249" ht="15.75" customHeight="1">
      <c r="A249" s="27">
        <v>53.0</v>
      </c>
      <c r="D249" s="27">
        <v>340.0</v>
      </c>
      <c r="J249" s="27">
        <v>81.0</v>
      </c>
      <c r="L249" s="27">
        <v>366.0</v>
      </c>
    </row>
    <row r="250" ht="15.75" customHeight="1">
      <c r="A250" s="27">
        <v>214.0</v>
      </c>
      <c r="D250" s="27">
        <v>340.0</v>
      </c>
      <c r="J250" s="27">
        <v>499.0</v>
      </c>
      <c r="L250" s="27">
        <v>368.0</v>
      </c>
    </row>
    <row r="251" ht="15.75" customHeight="1">
      <c r="A251" s="27">
        <v>250.0</v>
      </c>
      <c r="D251" s="27">
        <v>307.0</v>
      </c>
      <c r="J251" s="27">
        <v>221.0</v>
      </c>
      <c r="L251" s="27">
        <v>371.0</v>
      </c>
    </row>
    <row r="252" ht="15.75" customHeight="1">
      <c r="A252" s="27">
        <v>66.0</v>
      </c>
      <c r="D252" s="27">
        <v>340.0</v>
      </c>
      <c r="J252" s="27">
        <v>502.0</v>
      </c>
      <c r="L252" s="27">
        <v>340.0</v>
      </c>
    </row>
    <row r="253" ht="15.75" customHeight="1">
      <c r="A253" s="27">
        <v>252.0</v>
      </c>
      <c r="D253" s="27">
        <v>478.0</v>
      </c>
      <c r="J253" s="27">
        <v>145.0</v>
      </c>
      <c r="L253" s="27">
        <v>66.0</v>
      </c>
    </row>
    <row r="254" ht="15.75" customHeight="1">
      <c r="A254" s="27">
        <v>58.0</v>
      </c>
      <c r="D254" s="27">
        <v>340.0</v>
      </c>
      <c r="J254" s="27">
        <v>313.0</v>
      </c>
      <c r="L254" s="27">
        <v>58.0</v>
      </c>
    </row>
    <row r="255" ht="15.75" customHeight="1">
      <c r="A255" s="27">
        <v>66.0</v>
      </c>
      <c r="D255" s="27">
        <v>25.0</v>
      </c>
      <c r="J255" s="27">
        <v>508.0</v>
      </c>
      <c r="L255" s="27">
        <v>221.0</v>
      </c>
    </row>
    <row r="256" ht="15.75" customHeight="1">
      <c r="A256" s="27">
        <v>66.0</v>
      </c>
      <c r="D256" s="27">
        <v>232.0</v>
      </c>
      <c r="J256" s="27">
        <v>509.0</v>
      </c>
      <c r="L256" s="27">
        <v>383.0</v>
      </c>
    </row>
    <row r="257" ht="15.75" customHeight="1">
      <c r="A257" s="27">
        <v>50.0</v>
      </c>
      <c r="D257" s="27">
        <v>562.0</v>
      </c>
      <c r="J257" s="27">
        <v>512.0</v>
      </c>
      <c r="L257" s="27">
        <v>252.0</v>
      </c>
    </row>
    <row r="258" ht="15.75" customHeight="1">
      <c r="A258" s="27">
        <v>127.0</v>
      </c>
      <c r="D258" s="27">
        <v>478.0</v>
      </c>
      <c r="J258" s="27">
        <v>271.0</v>
      </c>
      <c r="L258" s="27">
        <v>52.0</v>
      </c>
    </row>
    <row r="259" ht="15.75" customHeight="1">
      <c r="A259" s="27">
        <v>258.0</v>
      </c>
      <c r="D259" s="27">
        <v>340.0</v>
      </c>
      <c r="J259" s="27">
        <v>411.0</v>
      </c>
      <c r="L259" s="27">
        <v>127.0</v>
      </c>
    </row>
    <row r="260" ht="15.75" customHeight="1">
      <c r="A260" s="27">
        <v>43.0</v>
      </c>
      <c r="J260" s="27">
        <v>232.0</v>
      </c>
      <c r="L260" s="27">
        <v>81.0</v>
      </c>
    </row>
    <row r="261" ht="15.75" customHeight="1">
      <c r="A261" s="27">
        <v>132.0</v>
      </c>
      <c r="J261" s="27">
        <v>519.0</v>
      </c>
      <c r="L261" s="27">
        <v>66.0</v>
      </c>
    </row>
    <row r="262" ht="15.75" customHeight="1">
      <c r="A262" s="27">
        <v>127.0</v>
      </c>
      <c r="J262" s="27">
        <v>374.0</v>
      </c>
      <c r="L262" s="27">
        <v>264.0</v>
      </c>
    </row>
    <row r="263" ht="15.75" customHeight="1">
      <c r="A263" s="27">
        <v>232.0</v>
      </c>
      <c r="J263" s="27">
        <v>523.0</v>
      </c>
      <c r="L263" s="27">
        <v>392.0</v>
      </c>
    </row>
    <row r="264" ht="15.75" customHeight="1">
      <c r="A264" s="27">
        <v>211.0</v>
      </c>
      <c r="J264" s="27">
        <v>526.0</v>
      </c>
      <c r="L264" s="27">
        <v>397.0</v>
      </c>
    </row>
    <row r="265" ht="15.75" customHeight="1">
      <c r="A265" s="27">
        <v>264.0</v>
      </c>
      <c r="J265" s="27">
        <v>512.0</v>
      </c>
      <c r="L265" s="27">
        <v>398.0</v>
      </c>
    </row>
    <row r="266" ht="15.75" customHeight="1">
      <c r="A266" s="27">
        <v>195.0</v>
      </c>
      <c r="J266" s="27">
        <v>459.0</v>
      </c>
      <c r="L266" s="27">
        <v>400.0</v>
      </c>
    </row>
    <row r="267" ht="15.75" customHeight="1">
      <c r="A267" s="27">
        <v>52.0</v>
      </c>
      <c r="J267" s="27">
        <v>441.0</v>
      </c>
      <c r="L267" s="27">
        <v>74.0</v>
      </c>
    </row>
    <row r="268" ht="15.75" customHeight="1">
      <c r="A268" s="27">
        <v>74.0</v>
      </c>
      <c r="J268" s="27">
        <v>81.0</v>
      </c>
      <c r="L268" s="27">
        <v>74.0</v>
      </c>
    </row>
    <row r="269" ht="15.75" customHeight="1">
      <c r="A269" s="27">
        <v>66.0</v>
      </c>
      <c r="J269" s="27">
        <v>536.0</v>
      </c>
      <c r="L269" s="27">
        <v>258.0</v>
      </c>
    </row>
    <row r="270" ht="15.75" customHeight="1">
      <c r="A270" s="27">
        <v>269.0</v>
      </c>
      <c r="J270" s="27">
        <v>17.0</v>
      </c>
      <c r="L270" s="27">
        <v>340.0</v>
      </c>
    </row>
    <row r="271" ht="15.75" customHeight="1">
      <c r="A271" s="27">
        <v>2.0</v>
      </c>
      <c r="J271" s="27">
        <v>17.0</v>
      </c>
      <c r="L271" s="27">
        <v>406.0</v>
      </c>
    </row>
    <row r="272" ht="15.75" customHeight="1">
      <c r="A272" s="27">
        <v>271.0</v>
      </c>
      <c r="J272" s="27">
        <v>459.0</v>
      </c>
      <c r="L272" s="27">
        <v>48.0</v>
      </c>
    </row>
    <row r="273" ht="15.75" customHeight="1">
      <c r="A273" s="27">
        <v>25.0</v>
      </c>
      <c r="J273" s="27">
        <v>340.0</v>
      </c>
      <c r="L273" s="27">
        <v>58.0</v>
      </c>
    </row>
    <row r="274" ht="15.75" customHeight="1">
      <c r="A274" s="27">
        <v>264.0</v>
      </c>
      <c r="J274" s="27">
        <v>271.0</v>
      </c>
      <c r="L274" s="27">
        <v>340.0</v>
      </c>
    </row>
    <row r="275" ht="15.75" customHeight="1">
      <c r="A275" s="27">
        <v>274.0</v>
      </c>
      <c r="J275" s="27">
        <v>385.0</v>
      </c>
      <c r="L275" s="27">
        <v>412.0</v>
      </c>
    </row>
    <row r="276" ht="15.75" customHeight="1">
      <c r="A276" s="27">
        <v>74.0</v>
      </c>
      <c r="J276" s="27">
        <v>307.0</v>
      </c>
      <c r="L276" s="27">
        <v>415.0</v>
      </c>
    </row>
    <row r="277" ht="15.75" customHeight="1">
      <c r="A277" s="27">
        <v>25.0</v>
      </c>
      <c r="J277" s="27">
        <v>545.0</v>
      </c>
      <c r="L277" s="27">
        <v>25.0</v>
      </c>
    </row>
    <row r="278" ht="15.75" customHeight="1">
      <c r="A278" s="27">
        <v>277.0</v>
      </c>
      <c r="J278" s="27">
        <v>481.0</v>
      </c>
      <c r="L278" s="27">
        <v>417.0</v>
      </c>
    </row>
    <row r="279" ht="15.75" customHeight="1">
      <c r="A279" s="27">
        <v>278.0</v>
      </c>
      <c r="J279" s="27">
        <v>116.0</v>
      </c>
      <c r="L279" s="27">
        <v>418.0</v>
      </c>
    </row>
    <row r="280" ht="15.75" customHeight="1">
      <c r="A280" s="27">
        <v>25.0</v>
      </c>
      <c r="J280" s="27">
        <v>149.0</v>
      </c>
      <c r="L280" s="27">
        <v>116.0</v>
      </c>
    </row>
    <row r="281" ht="15.75" customHeight="1">
      <c r="A281" s="27">
        <v>280.0</v>
      </c>
      <c r="J281" s="27">
        <v>478.0</v>
      </c>
      <c r="L281" s="27">
        <v>43.0</v>
      </c>
    </row>
    <row r="282" ht="15.75" customHeight="1">
      <c r="A282" s="27">
        <v>281.0</v>
      </c>
      <c r="J282" s="27">
        <v>25.0</v>
      </c>
      <c r="L282" s="27">
        <v>424.0</v>
      </c>
    </row>
    <row r="283" ht="15.75" customHeight="1">
      <c r="A283" s="27">
        <v>282.0</v>
      </c>
      <c r="J283" s="27">
        <v>232.0</v>
      </c>
      <c r="L283" s="27">
        <v>426.0</v>
      </c>
    </row>
    <row r="284" ht="15.75" customHeight="1">
      <c r="A284" s="27">
        <v>283.0</v>
      </c>
      <c r="J284" s="27">
        <v>149.0</v>
      </c>
      <c r="L284" s="27">
        <v>51.0</v>
      </c>
    </row>
    <row r="285" ht="15.75" customHeight="1">
      <c r="A285" s="27">
        <v>284.0</v>
      </c>
      <c r="J285" s="27">
        <v>302.0</v>
      </c>
      <c r="L285" s="27">
        <v>118.0</v>
      </c>
    </row>
    <row r="286" ht="15.75" customHeight="1">
      <c r="A286" s="27">
        <v>58.0</v>
      </c>
      <c r="J286" s="27">
        <v>385.0</v>
      </c>
      <c r="L286" s="27">
        <v>200.0</v>
      </c>
    </row>
    <row r="287" ht="15.75" customHeight="1">
      <c r="A287" s="27">
        <v>286.0</v>
      </c>
      <c r="J287" s="27">
        <v>561.0</v>
      </c>
      <c r="L287" s="27">
        <v>444.0</v>
      </c>
    </row>
    <row r="288" ht="15.75" customHeight="1">
      <c r="A288" s="27">
        <v>287.0</v>
      </c>
      <c r="J288" s="27">
        <v>562.0</v>
      </c>
      <c r="L288" s="27">
        <v>116.0</v>
      </c>
    </row>
    <row r="289" ht="15.75" customHeight="1">
      <c r="A289" s="27">
        <v>58.0</v>
      </c>
      <c r="J289" s="27">
        <v>478.0</v>
      </c>
      <c r="L289" s="27">
        <v>116.0</v>
      </c>
    </row>
    <row r="290" ht="15.75" customHeight="1">
      <c r="A290" s="27">
        <v>252.0</v>
      </c>
      <c r="J290" s="27">
        <v>149.0</v>
      </c>
      <c r="L290" s="27">
        <v>337.0</v>
      </c>
    </row>
    <row r="291" ht="15.75" customHeight="1">
      <c r="A291" s="27">
        <v>25.0</v>
      </c>
      <c r="J291" s="27">
        <v>536.0</v>
      </c>
      <c r="L291" s="27">
        <v>200.0</v>
      </c>
    </row>
    <row r="292" ht="15.75" customHeight="1">
      <c r="A292" s="27">
        <v>291.0</v>
      </c>
      <c r="J292" s="27">
        <v>566.0</v>
      </c>
      <c r="L292" s="27">
        <v>313.0</v>
      </c>
    </row>
    <row r="293" ht="15.75" customHeight="1">
      <c r="A293" s="27">
        <v>292.0</v>
      </c>
      <c r="J293" s="27">
        <v>572.0</v>
      </c>
      <c r="L293" s="27">
        <v>296.0</v>
      </c>
    </row>
    <row r="294" ht="15.75" customHeight="1">
      <c r="A294" s="27">
        <v>293.0</v>
      </c>
      <c r="L294" s="27">
        <v>459.0</v>
      </c>
    </row>
    <row r="295" ht="15.75" customHeight="1">
      <c r="A295" s="27">
        <v>294.0</v>
      </c>
      <c r="L295" s="27">
        <v>252.0</v>
      </c>
    </row>
    <row r="296" ht="15.75" customHeight="1">
      <c r="A296" s="27">
        <v>295.0</v>
      </c>
      <c r="L296" s="27">
        <v>464.0</v>
      </c>
    </row>
    <row r="297" ht="15.75" customHeight="1">
      <c r="A297" s="27">
        <v>296.0</v>
      </c>
      <c r="L297" s="27">
        <v>465.0</v>
      </c>
    </row>
    <row r="298" ht="15.75" customHeight="1">
      <c r="A298" s="27">
        <v>282.0</v>
      </c>
      <c r="L298" s="27">
        <v>330.0</v>
      </c>
    </row>
    <row r="299" ht="15.75" customHeight="1">
      <c r="A299" s="27">
        <v>200.0</v>
      </c>
      <c r="L299" s="27">
        <v>464.0</v>
      </c>
    </row>
    <row r="300" ht="15.75" customHeight="1">
      <c r="A300" s="27">
        <v>50.0</v>
      </c>
      <c r="L300" s="27">
        <v>81.0</v>
      </c>
    </row>
    <row r="301" ht="15.75" customHeight="1">
      <c r="A301" s="27">
        <v>264.0</v>
      </c>
      <c r="L301" s="27">
        <v>319.0</v>
      </c>
    </row>
    <row r="302" ht="15.75" customHeight="1">
      <c r="A302" s="27">
        <v>144.0</v>
      </c>
      <c r="L302" s="27">
        <v>74.0</v>
      </c>
    </row>
    <row r="303" ht="15.75" customHeight="1">
      <c r="A303" s="27">
        <v>302.0</v>
      </c>
      <c r="L303" s="27">
        <v>118.0</v>
      </c>
    </row>
    <row r="304" ht="15.75" customHeight="1">
      <c r="A304" s="27">
        <v>264.0</v>
      </c>
      <c r="L304" s="27">
        <v>148.0</v>
      </c>
    </row>
    <row r="305" ht="15.75" customHeight="1">
      <c r="A305" s="27">
        <v>25.0</v>
      </c>
      <c r="L305" s="27">
        <v>397.0</v>
      </c>
    </row>
    <row r="306" ht="15.75" customHeight="1">
      <c r="A306" s="27">
        <v>258.0</v>
      </c>
      <c r="L306" s="27">
        <v>74.0</v>
      </c>
    </row>
    <row r="307" ht="15.75" customHeight="1">
      <c r="A307" s="27">
        <v>306.0</v>
      </c>
      <c r="L307" s="27">
        <v>378.0</v>
      </c>
    </row>
    <row r="308" ht="15.75" customHeight="1">
      <c r="A308" s="27">
        <v>307.0</v>
      </c>
      <c r="L308" s="27">
        <v>116.0</v>
      </c>
    </row>
    <row r="309" ht="15.75" customHeight="1">
      <c r="A309" s="27">
        <v>308.0</v>
      </c>
      <c r="L309" s="27">
        <v>483.0</v>
      </c>
    </row>
    <row r="310" ht="15.75" customHeight="1">
      <c r="A310" s="27">
        <v>43.0</v>
      </c>
      <c r="L310" s="27">
        <v>313.0</v>
      </c>
    </row>
    <row r="311" ht="15.75" customHeight="1">
      <c r="A311" s="27">
        <v>295.0</v>
      </c>
      <c r="L311" s="27">
        <v>1.0</v>
      </c>
    </row>
    <row r="312" ht="15.75" customHeight="1">
      <c r="A312" s="27">
        <v>311.0</v>
      </c>
      <c r="L312" s="27">
        <v>487.0</v>
      </c>
    </row>
    <row r="313" ht="15.75" customHeight="1">
      <c r="A313" s="27">
        <v>312.0</v>
      </c>
      <c r="L313" s="27">
        <v>294.0</v>
      </c>
    </row>
    <row r="314" ht="15.75" customHeight="1">
      <c r="A314" s="27">
        <v>313.0</v>
      </c>
      <c r="L314" s="27">
        <v>337.0</v>
      </c>
    </row>
    <row r="315" ht="15.75" customHeight="1">
      <c r="A315" s="27">
        <v>314.0</v>
      </c>
      <c r="L315" s="27">
        <v>313.0</v>
      </c>
    </row>
    <row r="316" ht="15.75" customHeight="1">
      <c r="A316" s="27">
        <v>52.0</v>
      </c>
      <c r="L316" s="27">
        <v>269.0</v>
      </c>
    </row>
    <row r="317" ht="15.75" customHeight="1">
      <c r="A317" s="27">
        <v>316.0</v>
      </c>
      <c r="L317" s="27">
        <v>118.0</v>
      </c>
    </row>
    <row r="318" ht="15.75" customHeight="1">
      <c r="A318" s="27">
        <v>24.0</v>
      </c>
      <c r="L318" s="27">
        <v>81.0</v>
      </c>
    </row>
    <row r="319" ht="15.75" customHeight="1">
      <c r="A319" s="27">
        <v>12.0</v>
      </c>
      <c r="L319" s="27">
        <v>221.0</v>
      </c>
    </row>
    <row r="320" ht="15.75" customHeight="1">
      <c r="A320" s="27">
        <v>319.0</v>
      </c>
      <c r="L320" s="27">
        <v>337.0</v>
      </c>
    </row>
    <row r="321" ht="15.75" customHeight="1">
      <c r="A321" s="27">
        <v>9.0</v>
      </c>
      <c r="L321" s="27">
        <v>502.0</v>
      </c>
    </row>
    <row r="322" ht="15.75" customHeight="1">
      <c r="A322" s="27">
        <v>321.0</v>
      </c>
      <c r="L322" s="27">
        <v>505.0</v>
      </c>
    </row>
    <row r="323" ht="15.75" customHeight="1">
      <c r="A323" s="27">
        <v>74.0</v>
      </c>
      <c r="L323" s="27">
        <v>313.0</v>
      </c>
    </row>
    <row r="324" ht="15.75" customHeight="1">
      <c r="A324" s="27">
        <v>323.0</v>
      </c>
      <c r="L324" s="27">
        <v>508.0</v>
      </c>
    </row>
    <row r="325" ht="15.75" customHeight="1">
      <c r="A325" s="27">
        <v>221.0</v>
      </c>
      <c r="L325" s="27">
        <v>509.0</v>
      </c>
    </row>
    <row r="326" ht="15.75" customHeight="1">
      <c r="A326" s="27">
        <v>325.0</v>
      </c>
      <c r="L326" s="27">
        <v>511.0</v>
      </c>
    </row>
    <row r="327" ht="15.75" customHeight="1">
      <c r="A327" s="27">
        <v>195.0</v>
      </c>
      <c r="L327" s="27">
        <v>512.0</v>
      </c>
    </row>
    <row r="328" ht="15.75" customHeight="1">
      <c r="A328" s="27">
        <v>327.0</v>
      </c>
      <c r="L328" s="27">
        <v>411.0</v>
      </c>
    </row>
    <row r="329" ht="15.75" customHeight="1">
      <c r="A329" s="27">
        <v>328.0</v>
      </c>
      <c r="L329" s="27">
        <v>517.0</v>
      </c>
    </row>
    <row r="330" ht="15.75" customHeight="1">
      <c r="A330" s="27">
        <v>218.0</v>
      </c>
      <c r="L330" s="27">
        <v>232.0</v>
      </c>
    </row>
    <row r="331" ht="15.75" customHeight="1">
      <c r="A331" s="27">
        <v>330.0</v>
      </c>
      <c r="L331" s="27">
        <v>519.0</v>
      </c>
    </row>
    <row r="332" ht="15.75" customHeight="1">
      <c r="A332" s="27">
        <v>331.0</v>
      </c>
      <c r="L332" s="27">
        <v>374.0</v>
      </c>
    </row>
    <row r="333" ht="15.75" customHeight="1">
      <c r="A333" s="27">
        <v>332.0</v>
      </c>
      <c r="L333" s="27">
        <v>517.0</v>
      </c>
    </row>
    <row r="334" ht="15.75" customHeight="1">
      <c r="A334" s="27">
        <v>333.0</v>
      </c>
      <c r="L334" s="27">
        <v>523.0</v>
      </c>
    </row>
    <row r="335" ht="15.75" customHeight="1">
      <c r="A335" s="27">
        <v>334.0</v>
      </c>
      <c r="L335" s="27">
        <v>526.0</v>
      </c>
    </row>
    <row r="336" ht="15.75" customHeight="1">
      <c r="A336" s="27">
        <v>335.0</v>
      </c>
      <c r="L336" s="27">
        <v>512.0</v>
      </c>
    </row>
    <row r="337" ht="15.75" customHeight="1">
      <c r="A337" s="27">
        <v>330.0</v>
      </c>
      <c r="L337" s="27">
        <v>459.0</v>
      </c>
    </row>
    <row r="338" ht="15.75" customHeight="1">
      <c r="A338" s="27">
        <v>337.0</v>
      </c>
      <c r="L338" s="27">
        <v>530.0</v>
      </c>
    </row>
    <row r="339" ht="15.75" customHeight="1">
      <c r="A339" s="27">
        <v>127.0</v>
      </c>
      <c r="L339" s="27">
        <v>441.0</v>
      </c>
    </row>
    <row r="340" ht="15.75" customHeight="1">
      <c r="A340" s="27">
        <v>339.0</v>
      </c>
      <c r="L340" s="27">
        <v>81.0</v>
      </c>
    </row>
    <row r="341" ht="15.75" customHeight="1">
      <c r="A341" s="27">
        <v>340.0</v>
      </c>
      <c r="L341" s="27">
        <v>340.0</v>
      </c>
    </row>
    <row r="342" ht="15.75" customHeight="1">
      <c r="A342" s="27">
        <v>145.0</v>
      </c>
      <c r="L342" s="27">
        <v>444.0</v>
      </c>
    </row>
    <row r="343" ht="15.75" customHeight="1">
      <c r="A343" s="27">
        <v>342.0</v>
      </c>
      <c r="L343" s="27">
        <v>17.0</v>
      </c>
    </row>
    <row r="344" ht="15.75" customHeight="1">
      <c r="A344" s="27">
        <v>74.0</v>
      </c>
      <c r="L344" s="27">
        <v>116.0</v>
      </c>
    </row>
    <row r="345" ht="15.75" customHeight="1">
      <c r="A345" s="27">
        <v>264.0</v>
      </c>
      <c r="L345" s="27">
        <v>25.0</v>
      </c>
    </row>
    <row r="346" ht="15.75" customHeight="1">
      <c r="A346" s="27">
        <v>345.0</v>
      </c>
      <c r="L346" s="27">
        <v>232.0</v>
      </c>
    </row>
    <row r="347" ht="15.75" customHeight="1">
      <c r="A347" s="27">
        <v>346.0</v>
      </c>
      <c r="L347" s="27">
        <v>385.0</v>
      </c>
    </row>
    <row r="348" ht="15.75" customHeight="1">
      <c r="A348" s="27">
        <v>347.0</v>
      </c>
      <c r="L348" s="27">
        <v>562.0</v>
      </c>
    </row>
    <row r="349" ht="15.75" customHeight="1">
      <c r="A349" s="27">
        <v>348.0</v>
      </c>
      <c r="L349" s="27">
        <v>536.0</v>
      </c>
    </row>
    <row r="350" ht="15.75" customHeight="1">
      <c r="A350" s="27">
        <v>120.0</v>
      </c>
      <c r="L350" s="27">
        <v>566.0</v>
      </c>
    </row>
    <row r="351" ht="15.75" customHeight="1">
      <c r="A351" s="27">
        <v>350.0</v>
      </c>
      <c r="L351" s="27">
        <v>232.0</v>
      </c>
    </row>
    <row r="352" ht="15.75" customHeight="1">
      <c r="A352" s="27">
        <v>195.0</v>
      </c>
      <c r="L352" s="27">
        <v>127.0</v>
      </c>
    </row>
    <row r="353" ht="15.75" customHeight="1">
      <c r="A353" s="27">
        <v>352.0</v>
      </c>
      <c r="L353" s="27">
        <v>570.0</v>
      </c>
    </row>
    <row r="354" ht="15.75" customHeight="1">
      <c r="A354" s="27">
        <v>353.0</v>
      </c>
    </row>
    <row r="355" ht="15.75" customHeight="1">
      <c r="A355" s="27">
        <v>250.0</v>
      </c>
    </row>
    <row r="356" ht="15.75" customHeight="1">
      <c r="A356" s="27">
        <v>58.0</v>
      </c>
    </row>
    <row r="357" ht="15.75" customHeight="1">
      <c r="A357" s="27">
        <v>356.0</v>
      </c>
    </row>
    <row r="358" ht="15.75" customHeight="1">
      <c r="A358" s="27">
        <v>258.0</v>
      </c>
    </row>
    <row r="359" ht="15.75" customHeight="1">
      <c r="A359" s="27">
        <v>358.0</v>
      </c>
    </row>
    <row r="360" ht="15.75" customHeight="1">
      <c r="A360" s="27">
        <v>118.0</v>
      </c>
    </row>
    <row r="361" ht="15.75" customHeight="1">
      <c r="A361" s="27">
        <v>250.0</v>
      </c>
    </row>
    <row r="362" ht="15.75" customHeight="1">
      <c r="A362" s="27">
        <v>24.0</v>
      </c>
    </row>
    <row r="363" ht="15.75" customHeight="1">
      <c r="A363" s="27">
        <v>362.0</v>
      </c>
    </row>
    <row r="364" ht="15.75" customHeight="1">
      <c r="A364" s="27">
        <v>363.0</v>
      </c>
    </row>
    <row r="365" ht="15.75" customHeight="1">
      <c r="A365" s="27">
        <v>331.0</v>
      </c>
    </row>
    <row r="366" ht="15.75" customHeight="1">
      <c r="A366" s="27">
        <v>258.0</v>
      </c>
    </row>
    <row r="367" ht="15.75" customHeight="1">
      <c r="A367" s="27">
        <v>366.0</v>
      </c>
    </row>
    <row r="368" ht="15.75" customHeight="1">
      <c r="A368" s="27">
        <v>340.0</v>
      </c>
    </row>
    <row r="369" ht="15.75" customHeight="1">
      <c r="A369" s="27">
        <v>368.0</v>
      </c>
    </row>
    <row r="370" ht="15.75" customHeight="1">
      <c r="A370" s="27">
        <v>345.0</v>
      </c>
    </row>
    <row r="371" ht="15.75" customHeight="1">
      <c r="A371" s="27">
        <v>370.0</v>
      </c>
    </row>
    <row r="372" ht="15.75" customHeight="1">
      <c r="A372" s="27">
        <v>371.0</v>
      </c>
    </row>
    <row r="373" ht="15.75" customHeight="1">
      <c r="A373" s="27">
        <v>372.0</v>
      </c>
    </row>
    <row r="374" ht="15.75" customHeight="1">
      <c r="A374" s="27">
        <v>340.0</v>
      </c>
    </row>
    <row r="375" ht="15.75" customHeight="1">
      <c r="A375" s="27">
        <v>374.0</v>
      </c>
    </row>
    <row r="376" ht="15.75" customHeight="1">
      <c r="A376" s="27">
        <v>144.0</v>
      </c>
    </row>
    <row r="377" ht="15.75" customHeight="1">
      <c r="A377" s="27">
        <v>302.0</v>
      </c>
    </row>
    <row r="378" ht="15.75" customHeight="1">
      <c r="A378" s="27">
        <v>66.0</v>
      </c>
    </row>
    <row r="379" ht="15.75" customHeight="1">
      <c r="A379" s="27">
        <v>378.0</v>
      </c>
    </row>
    <row r="380" ht="15.75" customHeight="1">
      <c r="A380" s="27">
        <v>58.0</v>
      </c>
    </row>
    <row r="381" ht="15.75" customHeight="1">
      <c r="A381" s="27">
        <v>380.0</v>
      </c>
    </row>
    <row r="382" ht="15.75" customHeight="1">
      <c r="A382" s="27">
        <v>221.0</v>
      </c>
    </row>
    <row r="383" ht="15.75" customHeight="1">
      <c r="A383" s="27">
        <v>74.0</v>
      </c>
    </row>
    <row r="384" ht="15.75" customHeight="1">
      <c r="A384" s="27">
        <v>383.0</v>
      </c>
    </row>
    <row r="385" ht="15.75" customHeight="1">
      <c r="A385" s="27">
        <v>252.0</v>
      </c>
    </row>
    <row r="386" ht="15.75" customHeight="1">
      <c r="A386" s="27">
        <v>385.0</v>
      </c>
    </row>
    <row r="387" ht="15.75" customHeight="1">
      <c r="A387" s="27">
        <v>52.0</v>
      </c>
    </row>
    <row r="388" ht="15.75" customHeight="1">
      <c r="A388" s="27">
        <v>387.0</v>
      </c>
    </row>
    <row r="389" ht="15.75" customHeight="1">
      <c r="A389" s="27">
        <v>127.0</v>
      </c>
    </row>
    <row r="390" ht="15.75" customHeight="1">
      <c r="A390" s="27">
        <v>81.0</v>
      </c>
    </row>
    <row r="391" ht="15.75" customHeight="1">
      <c r="A391" s="27">
        <v>66.0</v>
      </c>
    </row>
    <row r="392" ht="15.75" customHeight="1">
      <c r="A392" s="27">
        <v>264.0</v>
      </c>
    </row>
    <row r="393" ht="15.75" customHeight="1">
      <c r="A393" s="27">
        <v>392.0</v>
      </c>
    </row>
    <row r="394" ht="15.75" customHeight="1">
      <c r="A394" s="27">
        <v>302.0</v>
      </c>
    </row>
    <row r="395" ht="15.75" customHeight="1">
      <c r="A395" s="27">
        <v>394.0</v>
      </c>
    </row>
    <row r="396" ht="15.75" customHeight="1">
      <c r="A396" s="27">
        <v>395.0</v>
      </c>
    </row>
    <row r="397" ht="15.75" customHeight="1">
      <c r="A397" s="27">
        <v>58.0</v>
      </c>
    </row>
    <row r="398" ht="15.75" customHeight="1">
      <c r="A398" s="27">
        <v>397.0</v>
      </c>
    </row>
    <row r="399" ht="15.75" customHeight="1">
      <c r="A399" s="27">
        <v>398.0</v>
      </c>
    </row>
    <row r="400" ht="15.75" customHeight="1">
      <c r="A400" s="27">
        <v>399.0</v>
      </c>
    </row>
    <row r="401" ht="15.75" customHeight="1">
      <c r="A401" s="27">
        <v>400.0</v>
      </c>
    </row>
    <row r="402" ht="15.75" customHeight="1">
      <c r="A402" s="27">
        <v>74.0</v>
      </c>
    </row>
    <row r="403" ht="15.75" customHeight="1">
      <c r="A403" s="27">
        <v>74.0</v>
      </c>
    </row>
    <row r="404" ht="15.75" customHeight="1">
      <c r="A404" s="27">
        <v>258.0</v>
      </c>
    </row>
    <row r="405" ht="15.75" customHeight="1">
      <c r="A405" s="27">
        <v>383.0</v>
      </c>
    </row>
    <row r="406" ht="15.75" customHeight="1">
      <c r="A406" s="27">
        <v>340.0</v>
      </c>
    </row>
    <row r="407" ht="15.75" customHeight="1">
      <c r="A407" s="27">
        <v>406.0</v>
      </c>
    </row>
    <row r="408" ht="15.75" customHeight="1">
      <c r="A408" s="27">
        <v>48.0</v>
      </c>
    </row>
    <row r="409" ht="15.75" customHeight="1">
      <c r="A409" s="27">
        <v>58.0</v>
      </c>
    </row>
    <row r="410" ht="15.75" customHeight="1">
      <c r="A410" s="27">
        <v>340.0</v>
      </c>
    </row>
    <row r="411" ht="15.75" customHeight="1">
      <c r="A411" s="27">
        <v>410.0</v>
      </c>
    </row>
    <row r="412" ht="15.75" customHeight="1">
      <c r="A412" s="27">
        <v>411.0</v>
      </c>
    </row>
    <row r="413" ht="15.75" customHeight="1">
      <c r="A413" s="27">
        <v>412.0</v>
      </c>
    </row>
    <row r="414" ht="15.75" customHeight="1">
      <c r="A414" s="27">
        <v>195.0</v>
      </c>
    </row>
    <row r="415" ht="15.75" customHeight="1">
      <c r="A415" s="27">
        <v>340.0</v>
      </c>
    </row>
    <row r="416" ht="15.75" customHeight="1">
      <c r="A416" s="27">
        <v>415.0</v>
      </c>
    </row>
    <row r="417" ht="15.75" customHeight="1">
      <c r="A417" s="27">
        <v>25.0</v>
      </c>
    </row>
    <row r="418" ht="15.75" customHeight="1">
      <c r="A418" s="27">
        <v>417.0</v>
      </c>
    </row>
    <row r="419" ht="15.75" customHeight="1">
      <c r="A419" s="27">
        <v>418.0</v>
      </c>
    </row>
    <row r="420" ht="15.75" customHeight="1">
      <c r="A420" s="27">
        <v>419.0</v>
      </c>
    </row>
    <row r="421" ht="15.75" customHeight="1">
      <c r="A421" s="27">
        <v>420.0</v>
      </c>
    </row>
    <row r="422" ht="15.75" customHeight="1">
      <c r="A422" s="27">
        <v>264.0</v>
      </c>
    </row>
    <row r="423" ht="15.75" customHeight="1">
      <c r="A423" s="27">
        <v>116.0</v>
      </c>
    </row>
    <row r="424" ht="15.75" customHeight="1">
      <c r="A424" s="27">
        <v>43.0</v>
      </c>
    </row>
    <row r="425" ht="15.75" customHeight="1">
      <c r="A425" s="27">
        <v>424.0</v>
      </c>
    </row>
    <row r="426" ht="15.75" customHeight="1">
      <c r="A426" s="27">
        <v>264.0</v>
      </c>
    </row>
    <row r="427" ht="15.75" customHeight="1">
      <c r="A427" s="27">
        <v>426.0</v>
      </c>
    </row>
    <row r="428" ht="15.75" customHeight="1">
      <c r="A428" s="27">
        <v>286.0</v>
      </c>
    </row>
    <row r="429" ht="15.75" customHeight="1">
      <c r="A429" s="27">
        <v>195.0</v>
      </c>
    </row>
    <row r="430" ht="15.75" customHeight="1">
      <c r="A430" s="27">
        <v>383.0</v>
      </c>
    </row>
    <row r="431" ht="15.75" customHeight="1">
      <c r="A431" s="27">
        <v>195.0</v>
      </c>
    </row>
    <row r="432" ht="15.75" customHeight="1">
      <c r="A432" s="27">
        <v>51.0</v>
      </c>
    </row>
    <row r="433" ht="15.75" customHeight="1">
      <c r="A433" s="27">
        <v>195.0</v>
      </c>
    </row>
    <row r="434" ht="15.75" customHeight="1">
      <c r="A434" s="27">
        <v>271.0</v>
      </c>
    </row>
    <row r="435" ht="15.75" customHeight="1">
      <c r="A435" s="27">
        <v>264.0</v>
      </c>
    </row>
    <row r="436" ht="15.75" customHeight="1">
      <c r="A436" s="27">
        <v>118.0</v>
      </c>
    </row>
    <row r="437" ht="15.75" customHeight="1">
      <c r="A437" s="27">
        <v>385.0</v>
      </c>
    </row>
    <row r="438" ht="15.75" customHeight="1">
      <c r="A438" s="27">
        <v>437.0</v>
      </c>
    </row>
    <row r="439" ht="15.75" customHeight="1">
      <c r="A439" s="27">
        <v>286.0</v>
      </c>
    </row>
    <row r="440" ht="15.75" customHeight="1">
      <c r="A440" s="27">
        <v>302.0</v>
      </c>
    </row>
    <row r="441" ht="15.75" customHeight="1">
      <c r="A441" s="27">
        <v>200.0</v>
      </c>
    </row>
    <row r="442" ht="15.75" customHeight="1">
      <c r="A442" s="27">
        <v>441.0</v>
      </c>
    </row>
    <row r="443" ht="15.75" customHeight="1">
      <c r="A443" s="27">
        <v>383.0</v>
      </c>
    </row>
    <row r="444" ht="15.75" customHeight="1">
      <c r="A444" s="27">
        <v>353.0</v>
      </c>
    </row>
    <row r="445" ht="15.75" customHeight="1">
      <c r="A445" s="27">
        <v>444.0</v>
      </c>
    </row>
    <row r="446" ht="15.75" customHeight="1">
      <c r="A446" s="27">
        <v>445.0</v>
      </c>
    </row>
    <row r="447" ht="15.75" customHeight="1">
      <c r="A447" s="27">
        <v>345.0</v>
      </c>
    </row>
    <row r="448" ht="15.75" customHeight="1">
      <c r="A448" s="27">
        <v>116.0</v>
      </c>
    </row>
    <row r="449" ht="15.75" customHeight="1">
      <c r="A449" s="27">
        <v>195.0</v>
      </c>
    </row>
    <row r="450" ht="15.75" customHeight="1">
      <c r="A450" s="27">
        <v>116.0</v>
      </c>
    </row>
    <row r="451" ht="15.75" customHeight="1">
      <c r="A451" s="27">
        <v>450.0</v>
      </c>
    </row>
    <row r="452" ht="15.75" customHeight="1">
      <c r="A452" s="27">
        <v>340.0</v>
      </c>
    </row>
    <row r="453" ht="15.75" customHeight="1">
      <c r="A453" s="27">
        <v>452.0</v>
      </c>
    </row>
    <row r="454" ht="15.75" customHeight="1">
      <c r="A454" s="27">
        <v>337.0</v>
      </c>
    </row>
    <row r="455" ht="15.75" customHeight="1">
      <c r="A455" s="27">
        <v>200.0</v>
      </c>
    </row>
    <row r="456" ht="15.75" customHeight="1">
      <c r="A456" s="27">
        <v>455.0</v>
      </c>
    </row>
    <row r="457" ht="15.75" customHeight="1">
      <c r="A457" s="27">
        <v>313.0</v>
      </c>
    </row>
    <row r="458" ht="15.75" customHeight="1">
      <c r="A458" s="27">
        <v>296.0</v>
      </c>
    </row>
    <row r="459" ht="15.75" customHeight="1">
      <c r="A459" s="27">
        <v>340.0</v>
      </c>
    </row>
    <row r="460" ht="15.75" customHeight="1">
      <c r="A460" s="27">
        <v>459.0</v>
      </c>
    </row>
    <row r="461" ht="15.75" customHeight="1">
      <c r="A461" s="27">
        <v>252.0</v>
      </c>
    </row>
    <row r="462" ht="15.75" customHeight="1">
      <c r="A462" s="27">
        <v>461.0</v>
      </c>
    </row>
    <row r="463" ht="15.75" customHeight="1">
      <c r="A463" s="27">
        <v>383.0</v>
      </c>
    </row>
    <row r="464" ht="15.75" customHeight="1">
      <c r="A464" s="27">
        <v>284.0</v>
      </c>
    </row>
    <row r="465" ht="15.75" customHeight="1">
      <c r="A465" s="27">
        <v>464.0</v>
      </c>
    </row>
    <row r="466" ht="15.75" customHeight="1">
      <c r="A466" s="27">
        <v>465.0</v>
      </c>
    </row>
    <row r="467" ht="15.75" customHeight="1">
      <c r="A467" s="27">
        <v>330.0</v>
      </c>
    </row>
    <row r="468" ht="15.75" customHeight="1">
      <c r="A468" s="27">
        <v>464.0</v>
      </c>
    </row>
    <row r="469" ht="15.75" customHeight="1">
      <c r="A469" s="27">
        <v>468.0</v>
      </c>
    </row>
    <row r="470" ht="15.75" customHeight="1">
      <c r="A470" s="27">
        <v>81.0</v>
      </c>
    </row>
    <row r="471" ht="15.75" customHeight="1">
      <c r="A471" s="27">
        <v>333.0</v>
      </c>
    </row>
    <row r="472" ht="15.75" customHeight="1">
      <c r="A472" s="27">
        <v>319.0</v>
      </c>
    </row>
    <row r="473" ht="15.75" customHeight="1">
      <c r="A473" s="27">
        <v>74.0</v>
      </c>
    </row>
    <row r="474" ht="15.75" customHeight="1">
      <c r="A474" s="27">
        <v>118.0</v>
      </c>
    </row>
    <row r="475" ht="15.75" customHeight="1">
      <c r="A475" s="27">
        <v>148.0</v>
      </c>
    </row>
    <row r="476" ht="15.75" customHeight="1">
      <c r="A476" s="27">
        <v>397.0</v>
      </c>
    </row>
    <row r="477" ht="15.75" customHeight="1">
      <c r="A477" s="27">
        <v>340.0</v>
      </c>
    </row>
    <row r="478" ht="15.75" customHeight="1">
      <c r="A478" s="27">
        <v>74.0</v>
      </c>
    </row>
    <row r="479" ht="15.75" customHeight="1">
      <c r="A479" s="27">
        <v>478.0</v>
      </c>
    </row>
    <row r="480" ht="15.75" customHeight="1">
      <c r="A480" s="27">
        <v>385.0</v>
      </c>
    </row>
    <row r="481" ht="15.75" customHeight="1">
      <c r="A481" s="27">
        <v>378.0</v>
      </c>
    </row>
    <row r="482" ht="15.75" customHeight="1">
      <c r="A482" s="27">
        <v>481.0</v>
      </c>
    </row>
    <row r="483" ht="15.75" customHeight="1">
      <c r="A483" s="27">
        <v>116.0</v>
      </c>
    </row>
    <row r="484" ht="15.75" customHeight="1">
      <c r="A484" s="27">
        <v>483.0</v>
      </c>
    </row>
    <row r="485" ht="15.75" customHeight="1">
      <c r="A485" s="27">
        <v>313.0</v>
      </c>
    </row>
    <row r="486" ht="15.75" customHeight="1">
      <c r="A486" s="27">
        <v>485.0</v>
      </c>
    </row>
    <row r="487" ht="15.75" customHeight="1">
      <c r="A487" s="27">
        <v>1.0</v>
      </c>
    </row>
    <row r="488" ht="15.75" customHeight="1">
      <c r="A488" s="27">
        <v>487.0</v>
      </c>
    </row>
    <row r="489" ht="15.75" customHeight="1">
      <c r="A489" s="27">
        <v>340.0</v>
      </c>
    </row>
    <row r="490" ht="15.75" customHeight="1">
      <c r="A490" s="27">
        <v>340.0</v>
      </c>
    </row>
    <row r="491" ht="15.75" customHeight="1">
      <c r="A491" s="27">
        <v>490.0</v>
      </c>
    </row>
    <row r="492" ht="15.75" customHeight="1">
      <c r="A492" s="27">
        <v>294.0</v>
      </c>
    </row>
    <row r="493" ht="15.75" customHeight="1">
      <c r="A493" s="27">
        <v>452.0</v>
      </c>
    </row>
    <row r="494" ht="15.75" customHeight="1">
      <c r="A494" s="27">
        <v>337.0</v>
      </c>
    </row>
    <row r="495" ht="15.75" customHeight="1">
      <c r="A495" s="27">
        <v>494.0</v>
      </c>
    </row>
    <row r="496" ht="15.75" customHeight="1">
      <c r="A496" s="27">
        <v>313.0</v>
      </c>
    </row>
    <row r="497" ht="15.75" customHeight="1">
      <c r="A497" s="27">
        <v>269.0</v>
      </c>
    </row>
    <row r="498" ht="15.75" customHeight="1">
      <c r="A498" s="27">
        <v>118.0</v>
      </c>
    </row>
    <row r="499" ht="15.75" customHeight="1">
      <c r="A499" s="27">
        <v>81.0</v>
      </c>
    </row>
    <row r="500" ht="15.75" customHeight="1">
      <c r="A500" s="27">
        <v>499.0</v>
      </c>
    </row>
    <row r="501" ht="15.75" customHeight="1">
      <c r="A501" s="27">
        <v>221.0</v>
      </c>
    </row>
    <row r="502" ht="15.75" customHeight="1">
      <c r="A502" s="27">
        <v>337.0</v>
      </c>
    </row>
    <row r="503" ht="15.75" customHeight="1">
      <c r="A503" s="27">
        <v>502.0</v>
      </c>
    </row>
    <row r="504" ht="15.75" customHeight="1">
      <c r="A504" s="27">
        <v>395.0</v>
      </c>
    </row>
    <row r="505" ht="15.75" customHeight="1">
      <c r="A505" s="27">
        <v>195.0</v>
      </c>
    </row>
    <row r="506" ht="15.75" customHeight="1">
      <c r="A506" s="27">
        <v>505.0</v>
      </c>
    </row>
    <row r="507" ht="15.75" customHeight="1">
      <c r="A507" s="27">
        <v>145.0</v>
      </c>
    </row>
    <row r="508" ht="15.75" customHeight="1">
      <c r="A508" s="27">
        <v>313.0</v>
      </c>
    </row>
    <row r="509" ht="15.75" customHeight="1">
      <c r="A509" s="27">
        <v>508.0</v>
      </c>
    </row>
    <row r="510" ht="15.75" customHeight="1">
      <c r="A510" s="27">
        <v>509.0</v>
      </c>
    </row>
    <row r="511" ht="15.75" customHeight="1">
      <c r="A511" s="27">
        <v>340.0</v>
      </c>
    </row>
    <row r="512" ht="15.75" customHeight="1">
      <c r="A512" s="27">
        <v>511.0</v>
      </c>
    </row>
    <row r="513" ht="15.75" customHeight="1">
      <c r="A513" s="27">
        <v>512.0</v>
      </c>
    </row>
    <row r="514" ht="15.75" customHeight="1">
      <c r="A514" s="27">
        <v>271.0</v>
      </c>
    </row>
    <row r="515" ht="15.75" customHeight="1">
      <c r="A515" s="27">
        <v>340.0</v>
      </c>
    </row>
    <row r="516" ht="15.75" customHeight="1">
      <c r="A516" s="27">
        <v>411.0</v>
      </c>
    </row>
    <row r="517" ht="15.75" customHeight="1">
      <c r="A517" s="27">
        <v>340.0</v>
      </c>
    </row>
    <row r="518" ht="15.75" customHeight="1">
      <c r="A518" s="27">
        <v>517.0</v>
      </c>
    </row>
    <row r="519" ht="15.75" customHeight="1">
      <c r="A519" s="27">
        <v>232.0</v>
      </c>
    </row>
    <row r="520" ht="15.75" customHeight="1">
      <c r="A520" s="27">
        <v>519.0</v>
      </c>
    </row>
    <row r="521" ht="15.75" customHeight="1">
      <c r="A521" s="27">
        <v>374.0</v>
      </c>
    </row>
    <row r="522" ht="15.75" customHeight="1">
      <c r="A522" s="27">
        <v>517.0</v>
      </c>
    </row>
    <row r="523" ht="15.75" customHeight="1">
      <c r="A523" s="27">
        <v>522.0</v>
      </c>
    </row>
    <row r="524" ht="15.75" customHeight="1">
      <c r="A524" s="27">
        <v>523.0</v>
      </c>
    </row>
    <row r="525" ht="15.75" customHeight="1">
      <c r="A525" s="27">
        <v>524.0</v>
      </c>
    </row>
    <row r="526" ht="15.75" customHeight="1">
      <c r="A526" s="27">
        <v>250.0</v>
      </c>
    </row>
    <row r="527" ht="15.75" customHeight="1">
      <c r="A527" s="27">
        <v>526.0</v>
      </c>
    </row>
    <row r="528" ht="15.75" customHeight="1">
      <c r="A528" s="27">
        <v>195.0</v>
      </c>
    </row>
    <row r="529" ht="15.75" customHeight="1">
      <c r="A529" s="27">
        <v>512.0</v>
      </c>
    </row>
    <row r="530" ht="15.75" customHeight="1">
      <c r="A530" s="27">
        <v>459.0</v>
      </c>
    </row>
    <row r="531" ht="15.75" customHeight="1">
      <c r="A531" s="27">
        <v>530.0</v>
      </c>
    </row>
    <row r="532" ht="15.75" customHeight="1">
      <c r="A532" s="27">
        <v>340.0</v>
      </c>
    </row>
    <row r="533" ht="15.75" customHeight="1">
      <c r="A533" s="27">
        <v>441.0</v>
      </c>
    </row>
    <row r="534" ht="15.75" customHeight="1">
      <c r="A534" s="27">
        <v>81.0</v>
      </c>
    </row>
    <row r="535" ht="15.75" customHeight="1">
      <c r="A535" s="27">
        <v>340.0</v>
      </c>
    </row>
    <row r="536" ht="15.75" customHeight="1">
      <c r="A536" s="27">
        <v>444.0</v>
      </c>
    </row>
    <row r="537" ht="15.75" customHeight="1">
      <c r="A537" s="27">
        <v>536.0</v>
      </c>
    </row>
    <row r="538" ht="15.75" customHeight="1">
      <c r="A538" s="27">
        <v>340.0</v>
      </c>
    </row>
    <row r="539" ht="15.75" customHeight="1">
      <c r="A539" s="27">
        <v>17.0</v>
      </c>
    </row>
    <row r="540" ht="15.75" customHeight="1">
      <c r="A540" s="27">
        <v>17.0</v>
      </c>
    </row>
    <row r="541" ht="15.75" customHeight="1">
      <c r="A541" s="27">
        <v>459.0</v>
      </c>
    </row>
    <row r="542" ht="15.75" customHeight="1">
      <c r="A542" s="27">
        <v>340.0</v>
      </c>
    </row>
    <row r="543" ht="15.75" customHeight="1">
      <c r="A543" s="27">
        <v>271.0</v>
      </c>
    </row>
    <row r="544" ht="15.75" customHeight="1">
      <c r="A544" s="27">
        <v>385.0</v>
      </c>
    </row>
    <row r="545" ht="15.75" customHeight="1">
      <c r="A545" s="27">
        <v>307.0</v>
      </c>
    </row>
    <row r="546" ht="15.75" customHeight="1">
      <c r="A546" s="27">
        <v>545.0</v>
      </c>
    </row>
    <row r="547" ht="15.75" customHeight="1">
      <c r="A547" s="27">
        <v>546.0</v>
      </c>
    </row>
    <row r="548" ht="15.75" customHeight="1">
      <c r="A548" s="27">
        <v>340.0</v>
      </c>
    </row>
    <row r="549" ht="15.75" customHeight="1">
      <c r="A549" s="27">
        <v>481.0</v>
      </c>
    </row>
    <row r="550" ht="15.75" customHeight="1">
      <c r="A550" s="27">
        <v>337.0</v>
      </c>
    </row>
    <row r="551" ht="15.75" customHeight="1">
      <c r="A551" s="27">
        <v>116.0</v>
      </c>
    </row>
    <row r="552" ht="15.75" customHeight="1">
      <c r="A552" s="27">
        <v>149.0</v>
      </c>
    </row>
    <row r="553" ht="15.75" customHeight="1">
      <c r="A553" s="27">
        <v>478.0</v>
      </c>
    </row>
    <row r="554" ht="15.75" customHeight="1">
      <c r="A554" s="27">
        <v>340.0</v>
      </c>
    </row>
    <row r="555" ht="15.75" customHeight="1">
      <c r="A555" s="27">
        <v>25.0</v>
      </c>
    </row>
    <row r="556" ht="15.75" customHeight="1">
      <c r="A556" s="27">
        <v>271.0</v>
      </c>
    </row>
    <row r="557" ht="15.75" customHeight="1">
      <c r="A557" s="27">
        <v>232.0</v>
      </c>
    </row>
    <row r="558" ht="15.75" customHeight="1">
      <c r="A558" s="27">
        <v>149.0</v>
      </c>
    </row>
    <row r="559" ht="15.75" customHeight="1">
      <c r="A559" s="27">
        <v>302.0</v>
      </c>
    </row>
    <row r="560" ht="15.75" customHeight="1">
      <c r="A560" s="27">
        <v>385.0</v>
      </c>
    </row>
    <row r="561" ht="15.75" customHeight="1">
      <c r="A561" s="27">
        <v>560.0</v>
      </c>
    </row>
    <row r="562" ht="15.75" customHeight="1">
      <c r="A562" s="27">
        <v>561.0</v>
      </c>
    </row>
    <row r="563" ht="15.75" customHeight="1">
      <c r="A563" s="27">
        <v>562.0</v>
      </c>
    </row>
    <row r="564" ht="15.75" customHeight="1">
      <c r="A564" s="27">
        <v>478.0</v>
      </c>
    </row>
    <row r="565" ht="15.75" customHeight="1">
      <c r="A565" s="27">
        <v>149.0</v>
      </c>
    </row>
    <row r="566" ht="15.75" customHeight="1">
      <c r="A566" s="27">
        <v>536.0</v>
      </c>
    </row>
    <row r="567" ht="15.75" customHeight="1">
      <c r="A567" s="27">
        <v>566.0</v>
      </c>
    </row>
    <row r="568" ht="15.75" customHeight="1">
      <c r="A568" s="27">
        <v>567.0</v>
      </c>
    </row>
    <row r="569" ht="15.75" customHeight="1">
      <c r="A569" s="27">
        <v>232.0</v>
      </c>
    </row>
    <row r="570" ht="15.75" customHeight="1">
      <c r="A570" s="27">
        <v>127.0</v>
      </c>
    </row>
    <row r="571" ht="15.75" customHeight="1">
      <c r="A571" s="27">
        <v>570.0</v>
      </c>
    </row>
    <row r="572" ht="15.75" customHeight="1">
      <c r="A572" s="27">
        <v>340.0</v>
      </c>
    </row>
    <row r="573" ht="15.75" customHeight="1">
      <c r="A573" s="27">
        <v>572.0</v>
      </c>
    </row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aton</dc:creator>
</cp:coreProperties>
</file>